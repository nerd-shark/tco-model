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alculator" sheetId="2" state="visible" r:id="rId2"/>
    <sheet xmlns:r="http://schemas.openxmlformats.org/officeDocument/2006/relationships" name="Sensitivity" sheetId="3" state="visible" r:id="rId3"/>
    <sheet xmlns:r="http://schemas.openxmlformats.org/officeDocument/2006/relationships" name="Advanced (After-Tax NPV)"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quot;$&quot;#,##0"/>
  </numFmts>
  <fonts count="9">
    <font>
      <name val="Calibri"/>
      <family val="2"/>
      <color theme="1"/>
      <sz val="11"/>
      <scheme val="minor"/>
    </font>
    <font>
      <name val="Calibri"/>
      <b val="1"/>
      <color rgb="0024292F"/>
      <sz val="16"/>
    </font>
    <font>
      <name val="Calibri"/>
      <i val="1"/>
      <color rgb="0057606A"/>
      <sz val="9"/>
    </font>
    <font>
      <name val="Calibri"/>
      <b val="1"/>
      <color rgb="0024292F"/>
      <sz val="11"/>
    </font>
    <font>
      <name val="Calibri"/>
      <color rgb="0024292F"/>
      <sz val="11"/>
    </font>
    <font>
      <name val="Calibri"/>
      <b val="1"/>
      <color rgb="000A3069"/>
      <sz val="11"/>
    </font>
    <font>
      <name val="Calibri"/>
      <b val="1"/>
      <color rgb="00FFFFFF"/>
      <sz val="12"/>
    </font>
    <font>
      <name val="Calibri"/>
      <b val="1"/>
      <color rgb="0024292F"/>
      <sz val="12"/>
    </font>
    <font>
      <name val="Calibri"/>
      <b val="1"/>
      <color rgb="008250DF"/>
      <sz val="10"/>
    </font>
  </fonts>
  <fills count="9">
    <fill>
      <patternFill/>
    </fill>
    <fill>
      <patternFill patternType="gray125"/>
    </fill>
    <fill>
      <patternFill patternType="solid">
        <fgColor rgb="00F6F8FA"/>
      </patternFill>
    </fill>
    <fill>
      <patternFill patternType="solid">
        <fgColor rgb="00DDEBF7"/>
      </patternFill>
    </fill>
    <fill>
      <patternFill patternType="solid">
        <fgColor rgb="0024292F"/>
      </patternFill>
    </fill>
    <fill>
      <patternFill patternType="solid">
        <fgColor rgb="001A7F37"/>
      </patternFill>
    </fill>
    <fill>
      <patternFill patternType="solid">
        <fgColor rgb="000969DA"/>
      </patternFill>
    </fill>
    <fill>
      <patternFill patternType="solid">
        <fgColor rgb="00BF8700"/>
      </patternFill>
    </fill>
    <fill>
      <patternFill patternType="solid">
        <fgColor rgb="00FFF8C5"/>
      </patternFill>
    </fill>
  </fills>
  <borders count="7">
    <border>
      <left/>
      <right/>
      <top/>
      <bottom/>
      <diagonal/>
    </border>
    <border>
      <left style="thin">
        <color rgb="00D0D7DE"/>
      </left>
      <right style="thin">
        <color rgb="00D0D7DE"/>
      </right>
      <top style="thin">
        <color rgb="00D0D7DE"/>
      </top>
      <bottom style="thin">
        <color rgb="00D0D7DE"/>
      </bottom>
    </border>
    <border>
      <left style="thin">
        <color rgb="00D0D7DE"/>
      </left>
      <right style="thin">
        <color rgb="00D0D7DE"/>
      </right>
      <top style="medium">
        <color rgb="0024292F"/>
      </top>
      <bottom style="medium">
        <color rgb="0024292F"/>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top" wrapText="1"/>
    </xf>
    <xf numFmtId="0" fontId="4" fillId="0" borderId="0" applyAlignment="1" pivotButton="0" quotePrefix="0" xfId="0">
      <alignment horizontal="left" vertical="top" wrapText="1"/>
    </xf>
    <xf numFmtId="0" fontId="5" fillId="3" borderId="0" pivotButton="0" quotePrefix="0" xfId="0"/>
    <xf numFmtId="0" fontId="3" fillId="2" borderId="1" applyAlignment="1" pivotButton="0" quotePrefix="0" xfId="0">
      <alignment horizontal="left" vertical="center" wrapText="1"/>
    </xf>
    <xf numFmtId="0" fontId="0" fillId="2" borderId="1" pivotButton="0" quotePrefix="0" xfId="0"/>
    <xf numFmtId="0" fontId="4" fillId="0" borderId="1" applyAlignment="1" pivotButton="0" quotePrefix="0" xfId="0">
      <alignment horizontal="left" vertical="center" wrapText="1"/>
    </xf>
    <xf numFmtId="164" fontId="5" fillId="3" borderId="1" applyAlignment="1" pivotButton="0" quotePrefix="0" xfId="0">
      <alignment horizontal="right" vertical="center"/>
    </xf>
    <xf numFmtId="165" fontId="5" fillId="3" borderId="1" applyAlignment="1" pivotButton="0" quotePrefix="0" xfId="0">
      <alignment horizontal="right" vertical="center"/>
    </xf>
    <xf numFmtId="0" fontId="2" fillId="0" borderId="0" applyAlignment="1" pivotButton="0" quotePrefix="0" xfId="0">
      <alignment horizontal="left" vertical="center"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9" fontId="5" fillId="3" borderId="1" applyAlignment="1" pivotButton="0" quotePrefix="0" xfId="0">
      <alignment horizontal="right" vertical="center"/>
    </xf>
    <xf numFmtId="165" fontId="4" fillId="0" borderId="1" applyAlignment="1" pivotButton="0" quotePrefix="0" xfId="0">
      <alignment horizontal="right" vertical="center"/>
    </xf>
    <xf numFmtId="0" fontId="7" fillId="8" borderId="1" applyAlignment="1" pivotButton="0" quotePrefix="0" xfId="0">
      <alignment horizontal="left" vertical="center" wrapText="1"/>
    </xf>
    <xf numFmtId="165" fontId="7" fillId="8" borderId="2" applyAlignment="1" pivotButton="0" quotePrefix="0" xfId="0">
      <alignment horizontal="right" vertical="center"/>
    </xf>
    <xf numFmtId="9" fontId="4" fillId="0" borderId="1" applyAlignment="1" pivotButton="0" quotePrefix="0" xfId="0">
      <alignment horizontal="right" vertical="center"/>
    </xf>
    <xf numFmtId="0" fontId="3" fillId="0" borderId="1" applyAlignment="1" pivotButton="0" quotePrefix="0" xfId="0">
      <alignment horizontal="left" vertical="center" wrapText="1"/>
    </xf>
    <xf numFmtId="0" fontId="7" fillId="8" borderId="1" applyAlignment="1" pivotButton="0" quotePrefix="0" xfId="0">
      <alignment horizontal="center" vertical="center" wrapText="1"/>
    </xf>
    <xf numFmtId="0" fontId="0" fillId="0" borderId="5" pivotButton="0" quotePrefix="0" xfId="0"/>
    <xf numFmtId="0" fontId="0" fillId="0" borderId="6" pivotButton="0" quotePrefix="0" xfId="0"/>
    <xf numFmtId="0" fontId="2" fillId="0" borderId="0" applyAlignment="1" pivotButton="0" quotePrefix="0" xfId="0">
      <alignment horizontal="left" vertical="top" wrapText="1"/>
    </xf>
    <xf numFmtId="0" fontId="8" fillId="0" borderId="0" applyAlignment="1" pivotButton="0" quotePrefix="0" xfId="0">
      <alignment horizontal="left" vertical="top" wrapText="1"/>
    </xf>
    <xf numFmtId="165" fontId="0" fillId="0" borderId="1" applyAlignment="1" pivotButton="0" quotePrefix="0" xfId="0">
      <alignment horizontal="right" vertical="center"/>
    </xf>
    <xf numFmtId="0" fontId="3" fillId="0" borderId="1" applyAlignment="1" pivotButton="0" quotePrefix="0" xfId="0">
      <alignment horizontal="center" vertical="center" wrapText="1"/>
    </xf>
    <xf numFmtId="165" fontId="0" fillId="2" borderId="1" applyAlignment="1" pivotButton="0" quotePrefix="0" xfId="0">
      <alignment horizontal="right" vertical="center"/>
    </xf>
    <xf numFmtId="0" fontId="6" fillId="5" borderId="1" applyAlignment="1" pivotButton="0" quotePrefix="0" xfId="0">
      <alignment horizontal="left" vertical="center" wrapText="1"/>
    </xf>
    <xf numFmtId="0" fontId="0" fillId="5" borderId="1" pivotButton="0" quotePrefix="0" xfId="0"/>
    <xf numFmtId="0" fontId="4" fillId="0" borderId="1" applyAlignment="1" pivotButton="0" quotePrefix="0" xfId="0">
      <alignment horizontal="center" vertical="center" wrapText="1"/>
    </xf>
    <xf numFmtId="0" fontId="2" fillId="0" borderId="1" applyAlignment="1" pivotButton="0" quotePrefix="0" xfId="0">
      <alignment horizontal="right" vertical="center"/>
    </xf>
    <xf numFmtId="165" fontId="7" fillId="8" borderId="1" applyAlignment="1" pivotButton="0" quotePrefix="0" xfId="0">
      <alignment horizontal="right" vertical="center"/>
    </xf>
    <xf numFmtId="0" fontId="6" fillId="6" borderId="1" applyAlignment="1" pivotButton="0" quotePrefix="0" xfId="0">
      <alignment horizontal="left" vertical="center" wrapText="1"/>
    </xf>
    <xf numFmtId="0" fontId="0" fillId="6" borderId="1" pivotButton="0" quotePrefix="0" xfId="0"/>
    <xf numFmtId="0" fontId="6" fillId="7" borderId="1" applyAlignment="1" pivotButton="0" quotePrefix="0" xfId="0">
      <alignment horizontal="left" vertical="center" wrapText="1"/>
    </xf>
    <xf numFmtId="0" fontId="0" fillId="7" borderId="1" pivotButton="0" quotePrefix="0" xfId="0"/>
    <xf numFmtId="0" fontId="7"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47"/>
  <sheetViews>
    <sheetView showGridLines="0" workbookViewId="0">
      <selection activeCell="A1" sqref="A1"/>
    </sheetView>
  </sheetViews>
  <sheetFormatPr baseColWidth="8" defaultRowHeight="15"/>
  <cols>
    <col width="2" customWidth="1" min="1" max="1"/>
    <col width="102" customWidth="1" min="2" max="2"/>
  </cols>
  <sheetData>
    <row r="2">
      <c r="B2" s="1" t="inlineStr">
        <is>
          <t>Build vs. Buy vs. Automate: TCO Calculator</t>
        </is>
      </c>
    </row>
    <row r="3">
      <c r="B3" s="2" t="inlineStr">
        <is>
          <t>Companion to Engineering Economics, Part 5. A working total-cost-of-ownership model.</t>
        </is>
      </c>
    </row>
    <row r="5">
      <c r="B5" s="3" t="inlineStr">
        <is>
          <t>Two ways to use this workbook</t>
        </is>
      </c>
    </row>
    <row r="6">
      <c r="B6" s="4" t="inlineStr">
        <is>
          <t>SIMPLE (tabs: 'Calculator' and 'Sensitivity')</t>
        </is>
      </c>
    </row>
    <row r="7">
      <c r="B7" s="4" t="inlineStr">
        <is>
          <t xml:space="preserve">   Plain five-year cash totals. Enter costs, read the winner. Ten minutes, no finance background needed.</t>
        </is>
      </c>
    </row>
    <row r="8">
      <c r="B8" s="4" t="inlineStr">
        <is>
          <t xml:space="preserve">   Start here. For many decisions this is all you need.</t>
        </is>
      </c>
    </row>
    <row r="9">
      <c r="B9" s="4" t="inlineStr"/>
    </row>
    <row r="10">
      <c r="B10" s="4" t="inlineStr">
        <is>
          <t>ADVANCED (tab: 'Advanced (After-Tax NPV)')</t>
        </is>
      </c>
    </row>
    <row r="11">
      <c r="B11" s="4" t="inlineStr">
        <is>
          <t xml:space="preserve">   Same decision, but modeled the way a CFO sees it: capital vs. operating expense, amortization,</t>
        </is>
      </c>
    </row>
    <row r="12">
      <c r="B12" s="4" t="inlineStr">
        <is>
          <t xml:space="preserve">   the tax shield, and discounting to present value. Use it when the dollar amounts are large enough</t>
        </is>
      </c>
    </row>
    <row r="13">
      <c r="B13" s="4" t="inlineStr">
        <is>
          <t xml:space="preserve">   that accounting treatment and the time value of money actually change the ranking.</t>
        </is>
      </c>
    </row>
    <row r="14">
      <c r="B14" s="4" t="inlineStr"/>
    </row>
    <row r="15">
      <c r="B15" s="3" t="inlineStr">
        <is>
          <t>How to use the SIMPLE tabs</t>
        </is>
      </c>
    </row>
    <row r="16">
      <c r="B16" s="4" t="inlineStr">
        <is>
          <t>1. On 'Calculator', edit only the shaded blue cells. Everything else is a formula.</t>
        </is>
      </c>
    </row>
    <row r="17">
      <c r="B17" s="4" t="inlineStr">
        <is>
          <t>2. Read the five-year totals and the auto-selected winner at the bottom.</t>
        </is>
      </c>
    </row>
    <row r="18">
      <c r="B18" s="4" t="inlineStr">
        <is>
          <t>3. On 'Sensitivity', see whether the winner flips when BUILD maintenance is cheaper or costlier.</t>
        </is>
      </c>
    </row>
    <row r="19">
      <c r="B19" s="4" t="inlineStr"/>
    </row>
    <row r="20">
      <c r="B20" s="3" t="inlineStr">
        <is>
          <t>How to use the ADVANCED tab</t>
        </is>
      </c>
    </row>
    <row r="21">
      <c r="B21" s="4" t="inlineStr">
        <is>
          <t>1. It pulls your cost inputs straight from the 'Calculator' tab, so fill that in first.</t>
        </is>
      </c>
    </row>
    <row r="22">
      <c r="B22" s="4" t="inlineStr">
        <is>
          <t>2. Then set the finance assumptions in the blue cells: tax rate, discount rate, and the</t>
        </is>
      </c>
    </row>
    <row r="23">
      <c r="B23" s="4" t="inlineStr">
        <is>
          <t xml:space="preserve">   amortization period for capitalized build cost (US Section 174 default is 5 years).</t>
        </is>
      </c>
    </row>
    <row r="24">
      <c r="B24" s="4" t="inlineStr">
        <is>
          <t>3. Read two bottom-line numbers per option: nominal five-year cash, and after-tax NPV.</t>
        </is>
      </c>
    </row>
    <row r="25">
      <c r="B25" s="4" t="inlineStr">
        <is>
          <t xml:space="preserve">   The after-tax NPV is the number a finance team actually decides on.</t>
        </is>
      </c>
    </row>
    <row r="26">
      <c r="B26" s="4" t="inlineStr"/>
    </row>
    <row r="27">
      <c r="B27" s="3" t="inlineStr">
        <is>
          <t>Why accounting treatment changes the answer</t>
        </is>
      </c>
    </row>
    <row r="28">
      <c r="B28" s="4" t="inlineStr">
        <is>
          <t>Cash out the door is not the same as cost after tax. A deduction you take this year is worth more</t>
        </is>
      </c>
    </row>
    <row r="29">
      <c r="B29" s="4" t="inlineStr">
        <is>
          <t>than the same deduction spread over several years, because money now beats money later. US tax</t>
        </is>
      </c>
    </row>
    <row r="30">
      <c r="B30" s="4" t="inlineStr">
        <is>
          <t>treatment of software R&amp;D has moved: capitalize-and-amortize over 5 years applied 2022-2024, and</t>
        </is>
      </c>
    </row>
    <row r="31">
      <c r="B31" s="4" t="inlineStr">
        <is>
          <t>the 2025 OBBBA (Section 174A) restored immediate expensing for domestic R&amp;D while foreign work</t>
        </is>
      </c>
    </row>
    <row r="32">
      <c r="B32" s="4" t="inlineStr">
        <is>
          <t>still amortizes over 15 years. Set the amortization period cell to match your situation (1 = expense</t>
        </is>
      </c>
    </row>
    <row r="33">
      <c r="B33" s="4" t="inlineStr">
        <is>
          <t>now). A SaaS subscription is usually a clean operating expense deducted right away. Where build</t>
        </is>
      </c>
    </row>
    <row r="34">
      <c r="B34" s="4" t="inlineStr">
        <is>
          <t>labor lands on that line tilts build vs. buy, and the SIMPLE cash model cannot see it. ADVANCED can.</t>
        </is>
      </c>
    </row>
    <row r="35">
      <c r="B35" s="4" t="inlineStr"/>
    </row>
    <row r="36">
      <c r="B36" s="3" t="inlineStr">
        <is>
          <t>IMPORTANT: this is a model, not tax advice</t>
        </is>
      </c>
    </row>
    <row r="37">
      <c r="B37" s="4" t="inlineStr">
        <is>
          <t>Section 174, bonus depreciation, and capitalization rules change with legislation and vary by</t>
        </is>
      </c>
    </row>
    <row r="38">
      <c r="B38" s="4" t="inlineStr">
        <is>
          <t>jurisdiction and company. Every tax assumption here is an editable blue cell with an illustrative</t>
        </is>
      </c>
    </row>
    <row r="39">
      <c r="B39" s="4" t="inlineStr">
        <is>
          <t>default. Confirm the treatment with your own finance and tax team before you decide anything.</t>
        </is>
      </c>
    </row>
    <row r="40">
      <c r="B40" s="4" t="inlineStr"/>
    </row>
    <row r="41">
      <c r="B41" s="3" t="inlineStr">
        <is>
          <t>The one idea the whole thing exists to enforce</t>
        </is>
      </c>
    </row>
    <row r="42">
      <c r="B42" s="4" t="inlineStr">
        <is>
          <t>Initial development is roughly 20% of a system's lifetime cost. Maintenance is the other 60-80%.</t>
        </is>
      </c>
    </row>
    <row r="43">
      <c r="B43" s="4" t="inlineStr">
        <is>
          <t>A build estimate that stops at 'one quarter' has priced about a fifth of the real total.</t>
        </is>
      </c>
    </row>
    <row r="44">
      <c r="B44" s="4" t="inlineStr"/>
    </row>
    <row r="45">
      <c r="B45" s="4" t="inlineStr">
        <is>
          <t>Default numbers are illustrative, from the article. Replace every blue cell with your own.</t>
        </is>
      </c>
    </row>
    <row r="47">
      <c r="B47" s="5" t="inlineStr">
        <is>
          <t>Blue cells = your inputs. Edit these.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showGridLines="0" workbookViewId="0">
      <pane ySplit="8" topLeftCell="A9" activePane="bottomLeft" state="frozen"/>
      <selection pane="bottomLeft" activeCell="A1" sqref="A1"/>
    </sheetView>
  </sheetViews>
  <sheetFormatPr baseColWidth="8" defaultRowHeight="15"/>
  <cols>
    <col width="38" customWidth="1" min="1" max="1"/>
    <col width="16" customWidth="1" min="2" max="2"/>
    <col width="16" customWidth="1" min="3" max="3"/>
    <col width="16" customWidth="1" min="4" max="4"/>
    <col width="4" customWidth="1" min="5" max="5"/>
  </cols>
  <sheetData>
    <row r="1">
      <c r="A1" s="1" t="inlineStr">
        <is>
          <t>Five-Year TCO Calculator (Simple)</t>
        </is>
      </c>
    </row>
    <row r="2">
      <c r="A2" s="2" t="inlineStr">
        <is>
          <t>Plain cash totals. Edit the blue cells; totals recalculate automatically.</t>
        </is>
      </c>
    </row>
    <row r="4">
      <c r="A4" s="6" t="inlineStr">
        <is>
          <t>Shared assumptions</t>
        </is>
      </c>
      <c r="B4" s="7" t="n"/>
      <c r="C4" s="7" t="n"/>
      <c r="D4" s="7" t="n"/>
    </row>
    <row r="5">
      <c r="A5" s="8" t="inlineStr">
        <is>
          <t>Time horizon (years)</t>
        </is>
      </c>
      <c r="B5" s="9" t="n">
        <v>5</v>
      </c>
    </row>
    <row r="6">
      <c r="A6" s="8" t="inlineStr">
        <is>
          <t>Fully loaded engineer cost ($/year)</t>
        </is>
      </c>
      <c r="B6" s="10" t="n">
        <v>250000</v>
      </c>
      <c r="C6" s="11" t="inlineStr">
        <is>
          <t>salary + benefits + tax + overhead</t>
        </is>
      </c>
    </row>
    <row r="8">
      <c r="A8" s="12" t="inlineStr">
        <is>
          <t>Cost driver</t>
        </is>
      </c>
      <c r="B8" s="13" t="inlineStr">
        <is>
          <t>BUILD</t>
        </is>
      </c>
      <c r="C8" s="14" t="inlineStr">
        <is>
          <t>BUY</t>
        </is>
      </c>
      <c r="D8" s="15" t="inlineStr">
        <is>
          <t>AUTOMATE</t>
        </is>
      </c>
    </row>
    <row r="9">
      <c r="A9" s="8" t="inlineStr">
        <is>
          <t>Initial build / setup / integration ($)</t>
        </is>
      </c>
      <c r="B9" s="10" t="n">
        <v>125000</v>
      </c>
      <c r="C9" s="10" t="n">
        <v>90000</v>
      </c>
      <c r="D9" s="10" t="n">
        <v>30000</v>
      </c>
    </row>
    <row r="10">
      <c r="A10" s="8" t="inlineStr">
        <is>
          <t>Annual license / subscription (year 1, $)</t>
        </is>
      </c>
      <c r="B10" s="10" t="n">
        <v>0</v>
      </c>
      <c r="C10" s="10" t="n">
        <v>80000</v>
      </c>
      <c r="D10" s="10" t="n">
        <v>0</v>
      </c>
    </row>
    <row r="11">
      <c r="A11" s="8" t="inlineStr">
        <is>
          <t>License annual escalation (%)</t>
        </is>
      </c>
      <c r="B11" s="16" t="n">
        <v>0</v>
      </c>
      <c r="C11" s="16" t="n">
        <v>0.1</v>
      </c>
      <c r="D11" s="16" t="n">
        <v>0</v>
      </c>
    </row>
    <row r="12">
      <c r="A12" s="8" t="inlineStr">
        <is>
          <t>Annual maintenance effort (FTE)</t>
        </is>
      </c>
      <c r="B12" s="9" t="n">
        <v>0.5</v>
      </c>
      <c r="C12" s="9" t="n">
        <v>0.1</v>
      </c>
      <c r="D12" s="9" t="n">
        <v>0.08</v>
      </c>
    </row>
    <row r="13">
      <c r="A13" s="8" t="inlineStr">
        <is>
          <t>One-time switching / exit cost ($)</t>
        </is>
      </c>
      <c r="B13" s="10" t="n">
        <v>0</v>
      </c>
      <c r="C13" s="10" t="n">
        <v>0</v>
      </c>
      <c r="D13" s="10" t="n">
        <v>0</v>
      </c>
    </row>
    <row r="14">
      <c r="A14" s="8" t="inlineStr">
        <is>
          <t>Probability of switching within horizon (%)</t>
        </is>
      </c>
      <c r="B14" s="16" t="n">
        <v>0</v>
      </c>
      <c r="C14" s="16" t="n">
        <v>0.2</v>
      </c>
      <c r="D14" s="16" t="n">
        <v>0</v>
      </c>
    </row>
    <row r="15">
      <c r="A15" s="6" t="inlineStr">
        <is>
          <t>Computed</t>
        </is>
      </c>
      <c r="B15" s="7" t="n"/>
      <c r="C15" s="7" t="n"/>
      <c r="D15" s="7" t="n"/>
    </row>
    <row r="16">
      <c r="A16" s="8" t="inlineStr">
        <is>
          <t>License total over horizon ($)</t>
        </is>
      </c>
      <c r="B16" s="17">
        <f>IF(B11=0,B10*$B$5,B10*(1-(1+B11)^$B$5)/(1-(1+B11)))</f>
        <v/>
      </c>
      <c r="C16" s="17">
        <f>IF(C11=0,C10*$B$5,C10*(1-(1+C11)^$B$5)/(1-(1+C11)))</f>
        <v/>
      </c>
      <c r="D16" s="17">
        <f>IF(D11=0,D10*$B$5,D10*(1-(1+D11)^$B$5)/(1-(1+D11)))</f>
        <v/>
      </c>
    </row>
    <row r="17">
      <c r="A17" s="8" t="inlineStr">
        <is>
          <t>Maintenance total over horizon ($)</t>
        </is>
      </c>
      <c r="B17" s="17">
        <f>B12*$B$6*$B$5</f>
        <v/>
      </c>
      <c r="C17" s="17">
        <f>C12*$B$6*$B$5</f>
        <v/>
      </c>
      <c r="D17" s="17">
        <f>D12*$B$6*$B$5</f>
        <v/>
      </c>
    </row>
    <row r="18">
      <c r="A18" s="8" t="inlineStr">
        <is>
          <t>Expected switching cost (prob x cost, $)</t>
        </is>
      </c>
      <c r="B18" s="17">
        <f>B13*B14</f>
        <v/>
      </c>
      <c r="C18" s="17">
        <f>C13*C14</f>
        <v/>
      </c>
      <c r="D18" s="17">
        <f>D13*D14</f>
        <v/>
      </c>
    </row>
    <row r="19">
      <c r="A19" s="18" t="inlineStr">
        <is>
          <t>FIVE-YEAR TOTAL ($)</t>
        </is>
      </c>
      <c r="B19" s="19">
        <f>B9+B16+B17+B18</f>
        <v/>
      </c>
      <c r="C19" s="19">
        <f>C9+C16+C17+C18</f>
        <v/>
      </c>
      <c r="D19" s="19">
        <f>D9+D16+D17+D18</f>
        <v/>
      </c>
    </row>
    <row r="20">
      <c r="A20" s="8" t="inlineStr">
        <is>
          <t>Initial build as % of total</t>
        </is>
      </c>
      <c r="B20" s="20">
        <f>IF(B19=0,0,B9/B19)</f>
        <v/>
      </c>
      <c r="C20" s="20">
        <f>IF(C19=0,0,C9/C19)</f>
        <v/>
      </c>
      <c r="D20" s="20">
        <f>IF(D19=0,0,D9/D19)</f>
        <v/>
      </c>
    </row>
    <row r="22">
      <c r="A22" s="21" t="inlineStr">
        <is>
          <t>Lowest five-year cost</t>
        </is>
      </c>
      <c r="B22" s="22">
        <f>INDEX({"BUILD","BUY","AUTOMATE"},MATCH(MIN(B19:D19),B19:D19,0))</f>
        <v/>
      </c>
      <c r="C22" s="23" t="n"/>
      <c r="D22" s="24" t="n"/>
    </row>
    <row r="23">
      <c r="A23" s="25" t="inlineStr">
        <is>
          <t>Reminder: AUTOMATE often wins on cost because it covers a narrower need. Cheapest is not always enough.</t>
        </is>
      </c>
    </row>
    <row r="24">
      <c r="A24" s="26" t="inlineStr">
        <is>
          <t>Want taxes, capex/opex, and present value? See the 'Advanced (After-Tax NPV)' tab.</t>
        </is>
      </c>
    </row>
    <row r="26">
      <c r="A26" s="25" t="inlineStr">
        <is>
          <t>Default values are illustrative, from the article. Replace every blue cell with your own numbers.</t>
        </is>
      </c>
    </row>
  </sheetData>
  <mergeCells count="4">
    <mergeCell ref="A26:D26"/>
    <mergeCell ref="A23:D23"/>
    <mergeCell ref="B22:D22"/>
    <mergeCell ref="A24:D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showGridLines="0" workbookViewId="0">
      <pane ySplit="4" topLeftCell="A5"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8" customWidth="1" min="5" max="5"/>
  </cols>
  <sheetData>
    <row r="1">
      <c r="A1" s="1" t="inlineStr">
        <is>
          <t>Sensitivity: does the decision flip?</t>
        </is>
      </c>
    </row>
    <row r="2" ht="48" customHeight="1">
      <c r="A2" s="25" t="inlineStr">
        <is>
          <t>The maintenance assumption drives the result and is the hardest to predict. This sweeps BUILD maintenance effort and recomputes the five-year totals, holding the Calculator's other inputs fixed. If the winner changes across the rows, maintenance is the assumption that matters most.</t>
        </is>
      </c>
    </row>
    <row r="4">
      <c r="A4" s="12" t="n"/>
      <c r="B4" s="12" t="n"/>
      <c r="C4" s="12" t="n"/>
      <c r="D4" s="12" t="n"/>
      <c r="E4" s="12" t="n"/>
    </row>
    <row r="5">
      <c r="A5" s="9" t="n">
        <v>0.1</v>
      </c>
      <c r="B5" s="27">
        <f>(Calculator!$B$9+Calculator!$B$16+Calculator!$B$18)+A5*Calculator!$B$6*Calculator!$B$5</f>
        <v/>
      </c>
      <c r="C5" s="27">
        <f>Calculator!$C$19</f>
        <v/>
      </c>
      <c r="D5" s="27">
        <f>Calculator!$D$19</f>
        <v/>
      </c>
      <c r="E5" s="28">
        <f>INDEX({"BUILD","BUY","AUTOMATE"},MATCH(MIN(B5:D5),B5:D5,0))</f>
        <v/>
      </c>
    </row>
    <row r="6">
      <c r="A6" s="9" t="n">
        <v>0.25</v>
      </c>
      <c r="B6" s="29">
        <f>(Calculator!$B$9+Calculator!$B$16+Calculator!$B$18)+A6*Calculator!$B$6*Calculator!$B$5</f>
        <v/>
      </c>
      <c r="C6" s="29">
        <f>Calculator!$C$19</f>
        <v/>
      </c>
      <c r="D6" s="29">
        <f>Calculator!$D$19</f>
        <v/>
      </c>
      <c r="E6" s="28">
        <f>INDEX({"BUILD","BUY","AUTOMATE"},MATCH(MIN(B6:D6),B6:D6,0))</f>
        <v/>
      </c>
    </row>
    <row r="7">
      <c r="A7" s="9" t="n">
        <v>0.5</v>
      </c>
      <c r="B7" s="27">
        <f>(Calculator!$B$9+Calculator!$B$16+Calculator!$B$18)+A7*Calculator!$B$6*Calculator!$B$5</f>
        <v/>
      </c>
      <c r="C7" s="27">
        <f>Calculator!$C$19</f>
        <v/>
      </c>
      <c r="D7" s="27">
        <f>Calculator!$D$19</f>
        <v/>
      </c>
      <c r="E7" s="28">
        <f>INDEX({"BUILD","BUY","AUTOMATE"},MATCH(MIN(B7:D7),B7:D7,0))</f>
        <v/>
      </c>
    </row>
    <row r="8">
      <c r="A8" s="9" t="n">
        <v>0.75</v>
      </c>
      <c r="B8" s="29">
        <f>(Calculator!$B$9+Calculator!$B$16+Calculator!$B$18)+A8*Calculator!$B$6*Calculator!$B$5</f>
        <v/>
      </c>
      <c r="C8" s="29">
        <f>Calculator!$C$19</f>
        <v/>
      </c>
      <c r="D8" s="29">
        <f>Calculator!$D$19</f>
        <v/>
      </c>
      <c r="E8" s="28">
        <f>INDEX({"BUILD","BUY","AUTOMATE"},MATCH(MIN(B8:D8),B8:D8,0))</f>
        <v/>
      </c>
    </row>
    <row r="9">
      <c r="A9" s="9" t="n">
        <v>1</v>
      </c>
      <c r="B9" s="27">
        <f>(Calculator!$B$9+Calculator!$B$16+Calculator!$B$18)+A9*Calculator!$B$6*Calculator!$B$5</f>
        <v/>
      </c>
      <c r="C9" s="27">
        <f>Calculator!$C$19</f>
        <v/>
      </c>
      <c r="D9" s="27">
        <f>Calculator!$D$19</f>
        <v/>
      </c>
      <c r="E9" s="28">
        <f>INDEX({"BUILD","BUY","AUTOMATE"},MATCH(MIN(B9:D9),B9:D9,0))</f>
        <v/>
      </c>
    </row>
    <row r="10">
      <c r="A10" s="9" t="n">
        <v>1.5</v>
      </c>
      <c r="B10" s="29">
        <f>(Calculator!$B$9+Calculator!$B$16+Calculator!$B$18)+A10*Calculator!$B$6*Calculator!$B$5</f>
        <v/>
      </c>
      <c r="C10" s="29">
        <f>Calculator!$C$19</f>
        <v/>
      </c>
      <c r="D10" s="29">
        <f>Calculator!$D$19</f>
        <v/>
      </c>
      <c r="E10" s="28">
        <f>INDEX({"BUILD","BUY","AUTOMATE"},MATCH(MIN(B10:D10),B10:D10,0))</f>
        <v/>
      </c>
    </row>
    <row r="11">
      <c r="A11" s="9" t="n">
        <v>2</v>
      </c>
      <c r="B11" s="27">
        <f>(Calculator!$B$9+Calculator!$B$16+Calculator!$B$18)+A11*Calculator!$B$6*Calculator!$B$5</f>
        <v/>
      </c>
      <c r="C11" s="27">
        <f>Calculator!$C$19</f>
        <v/>
      </c>
      <c r="D11" s="27">
        <f>Calculator!$D$19</f>
        <v/>
      </c>
      <c r="E11" s="28">
        <f>INDEX({"BUILD","BUY","AUTOMATE"},MATCH(MIN(B11:D11),B11:D11,0))</f>
        <v/>
      </c>
    </row>
    <row r="13">
      <c r="A13" s="25" t="inlineStr">
        <is>
          <t>Blue FTE cells are editable. BUY and AUTOMATE columns mirror the Calculator tab, so set those there first.</t>
        </is>
      </c>
    </row>
  </sheetData>
  <mergeCells count="2">
    <mergeCell ref="A2:E2"/>
    <mergeCell ref="A13:E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2"/>
  <sheetViews>
    <sheetView showGridLines="0" workbookViewId="0">
      <pane ySplit="4" topLeftCell="A5" activePane="bottomLeft" state="frozen"/>
      <selection pane="bottomLeft" activeCell="A1" sqref="A1"/>
    </sheetView>
  </sheetViews>
  <sheetFormatPr baseColWidth="8" defaultRowHeight="15"/>
  <cols>
    <col width="40" customWidth="1" min="1" max="1"/>
    <col width="15" customWidth="1" min="2" max="2"/>
    <col width="15" customWidth="1" min="3" max="3"/>
    <col width="15" customWidth="1" min="4" max="4"/>
    <col width="4" customWidth="1" min="5" max="5"/>
  </cols>
  <sheetData>
    <row r="1">
      <c r="A1" s="1" t="inlineStr">
        <is>
          <t>Advanced: After-Tax NPV</t>
        </is>
      </c>
    </row>
    <row r="2" ht="56" customHeight="1">
      <c r="A2" s="25" t="inlineStr">
        <is>
          <t>The same decision a CFO's way: capital vs. operating expense, amortization, the tax shield, and present value. Cost inputs come from the 'Calculator' tab (fill that in first). Set the finance assumptions in the blue cells below. NOT TAX ADVICE: confirm treatment with your finance team.</t>
        </is>
      </c>
    </row>
    <row r="4">
      <c r="A4" s="6" t="inlineStr">
        <is>
          <t>Finance assumptions (edit these)</t>
        </is>
      </c>
      <c r="B4" s="7" t="n"/>
      <c r="C4" s="7" t="n"/>
      <c r="D4" s="7" t="n"/>
    </row>
    <row r="5">
      <c r="A5" s="8" t="inlineStr">
        <is>
          <t>Marginal tax rate (%)</t>
        </is>
      </c>
      <c r="B5" s="16" t="n">
        <v>0.21</v>
      </c>
    </row>
    <row r="6">
      <c r="A6" s="8" t="inlineStr">
        <is>
          <t>Discount rate / WACC (%)</t>
        </is>
      </c>
      <c r="B6" s="16" t="n">
        <v>0.1</v>
      </c>
    </row>
    <row r="7">
      <c r="A7" s="8" t="inlineStr">
        <is>
          <t>Build amortization period (years; 1 = expense now)</t>
        </is>
      </c>
      <c r="B7" s="9" t="n">
        <v>5</v>
      </c>
      <c r="C7" s="11" t="inlineStr">
        <is>
          <t>US domestic R&amp;D is expensable now (set 1); 5 = 2022-24 rule / an election; foreign = 15</t>
        </is>
      </c>
    </row>
    <row r="8">
      <c r="A8" s="8" t="inlineStr">
        <is>
          <t>Treat BUILD initial cost as capex? (1=yes,0=no)</t>
        </is>
      </c>
      <c r="B8" s="9" t="n">
        <v>1</v>
      </c>
    </row>
    <row r="9">
      <c r="A9" s="8" t="inlineStr">
        <is>
          <t>Treat BUY integration as capex? (1=yes,0=no)</t>
        </is>
      </c>
      <c r="B9" s="9" t="n">
        <v>1</v>
      </c>
    </row>
    <row r="10">
      <c r="A10" s="8" t="inlineStr">
        <is>
          <t>Treat AUTOMATE setup as capex? (1=yes,0=no)</t>
        </is>
      </c>
      <c r="B10" s="9" t="n">
        <v>0</v>
      </c>
    </row>
    <row r="12">
      <c r="A12" s="25" t="inlineStr">
        <is>
          <t>Per-year after-tax cash flow (up to 10 years shown; years beyond your horizon are zero).</t>
        </is>
      </c>
    </row>
    <row r="14">
      <c r="A14" s="30" t="inlineStr">
        <is>
          <t>BUILD</t>
        </is>
      </c>
      <c r="B14" s="31" t="n"/>
      <c r="C14" s="31" t="n"/>
      <c r="D14" s="31" t="n"/>
    </row>
    <row r="15">
      <c r="A15" s="12" t="n"/>
      <c r="B15" s="12" t="n"/>
      <c r="C15" s="12" t="n"/>
      <c r="D15" s="12" t="n"/>
    </row>
    <row r="16">
      <c r="A16" s="32" t="n">
        <v>1</v>
      </c>
      <c r="B16" s="17">
        <f>(IF(1=1,Calculator!$B$9+Calculator!$B$13*Calculator!$B$14,0))+(IF((1&lt;=Calculator!$B$5),Calculator!$B$10*(1+Calculator!$B$11)^(1-1),0))+(IF((1&lt;=Calculator!$B$5),Calculator!$B$12*Calculator!$B$6,0))</f>
        <v/>
      </c>
      <c r="C16" s="17">
        <f>((IF((1&lt;=Calculator!$B$5),Calculator!$B$10*(1+Calculator!$B$11)^(1-1),0))+(IF((1&lt;=Calculator!$B$5),Calculator!$B$12*Calculator!$B$6,0)))+(IF(AND(1&gt;=1,1&lt;=$B$7),Calculator!$B$9*$B$8/$B$7,0))+(IF(1=1,Calculator!$B$9*(1-$B$8)+Calculator!$B$13*Calculator!$B$14,0))</f>
        <v/>
      </c>
      <c r="D16" s="17">
        <f>(B16-$B$5*C16)/((1+$B$6)^1)</f>
        <v/>
      </c>
    </row>
    <row r="17">
      <c r="A17" s="32" t="n">
        <v>2</v>
      </c>
      <c r="B17" s="17">
        <f>(IF(2=1,Calculator!$B$9+Calculator!$B$13*Calculator!$B$14,0))+(IF((2&lt;=Calculator!$B$5),Calculator!$B$10*(1+Calculator!$B$11)^(2-1),0))+(IF((2&lt;=Calculator!$B$5),Calculator!$B$12*Calculator!$B$6,0))</f>
        <v/>
      </c>
      <c r="C17" s="17">
        <f>((IF((2&lt;=Calculator!$B$5),Calculator!$B$10*(1+Calculator!$B$11)^(2-1),0))+(IF((2&lt;=Calculator!$B$5),Calculator!$B$12*Calculator!$B$6,0)))+(IF(AND(2&gt;=1,2&lt;=$B$7),Calculator!$B$9*$B$8/$B$7,0))+(IF(2=1,Calculator!$B$9*(1-$B$8)+Calculator!$B$13*Calculator!$B$14,0))</f>
        <v/>
      </c>
      <c r="D17" s="17">
        <f>(B17-$B$5*C17)/((1+$B$6)^2)</f>
        <v/>
      </c>
    </row>
    <row r="18">
      <c r="A18" s="32" t="n">
        <v>3</v>
      </c>
      <c r="B18" s="17">
        <f>(IF(3=1,Calculator!$B$9+Calculator!$B$13*Calculator!$B$14,0))+(IF((3&lt;=Calculator!$B$5),Calculator!$B$10*(1+Calculator!$B$11)^(3-1),0))+(IF((3&lt;=Calculator!$B$5),Calculator!$B$12*Calculator!$B$6,0))</f>
        <v/>
      </c>
      <c r="C18" s="17">
        <f>((IF((3&lt;=Calculator!$B$5),Calculator!$B$10*(1+Calculator!$B$11)^(3-1),0))+(IF((3&lt;=Calculator!$B$5),Calculator!$B$12*Calculator!$B$6,0)))+(IF(AND(3&gt;=1,3&lt;=$B$7),Calculator!$B$9*$B$8/$B$7,0))+(IF(3=1,Calculator!$B$9*(1-$B$8)+Calculator!$B$13*Calculator!$B$14,0))</f>
        <v/>
      </c>
      <c r="D18" s="17">
        <f>(B18-$B$5*C18)/((1+$B$6)^3)</f>
        <v/>
      </c>
    </row>
    <row r="19">
      <c r="A19" s="32" t="n">
        <v>4</v>
      </c>
      <c r="B19" s="17">
        <f>(IF(4=1,Calculator!$B$9+Calculator!$B$13*Calculator!$B$14,0))+(IF((4&lt;=Calculator!$B$5),Calculator!$B$10*(1+Calculator!$B$11)^(4-1),0))+(IF((4&lt;=Calculator!$B$5),Calculator!$B$12*Calculator!$B$6,0))</f>
        <v/>
      </c>
      <c r="C19" s="17">
        <f>((IF((4&lt;=Calculator!$B$5),Calculator!$B$10*(1+Calculator!$B$11)^(4-1),0))+(IF((4&lt;=Calculator!$B$5),Calculator!$B$12*Calculator!$B$6,0)))+(IF(AND(4&gt;=1,4&lt;=$B$7),Calculator!$B$9*$B$8/$B$7,0))+(IF(4=1,Calculator!$B$9*(1-$B$8)+Calculator!$B$13*Calculator!$B$14,0))</f>
        <v/>
      </c>
      <c r="D19" s="17">
        <f>(B19-$B$5*C19)/((1+$B$6)^4)</f>
        <v/>
      </c>
    </row>
    <row r="20">
      <c r="A20" s="32" t="n">
        <v>5</v>
      </c>
      <c r="B20" s="17">
        <f>(IF(5=1,Calculator!$B$9+Calculator!$B$13*Calculator!$B$14,0))+(IF((5&lt;=Calculator!$B$5),Calculator!$B$10*(1+Calculator!$B$11)^(5-1),0))+(IF((5&lt;=Calculator!$B$5),Calculator!$B$12*Calculator!$B$6,0))</f>
        <v/>
      </c>
      <c r="C20" s="17">
        <f>((IF((5&lt;=Calculator!$B$5),Calculator!$B$10*(1+Calculator!$B$11)^(5-1),0))+(IF((5&lt;=Calculator!$B$5),Calculator!$B$12*Calculator!$B$6,0)))+(IF(AND(5&gt;=1,5&lt;=$B$7),Calculator!$B$9*$B$8/$B$7,0))+(IF(5=1,Calculator!$B$9*(1-$B$8)+Calculator!$B$13*Calculator!$B$14,0))</f>
        <v/>
      </c>
      <c r="D20" s="17">
        <f>(B20-$B$5*C20)/((1+$B$6)^5)</f>
        <v/>
      </c>
    </row>
    <row r="21">
      <c r="A21" s="32" t="n">
        <v>6</v>
      </c>
      <c r="B21" s="17">
        <f>(IF(6=1,Calculator!$B$9+Calculator!$B$13*Calculator!$B$14,0))+(IF((6&lt;=Calculator!$B$5),Calculator!$B$10*(1+Calculator!$B$11)^(6-1),0))+(IF((6&lt;=Calculator!$B$5),Calculator!$B$12*Calculator!$B$6,0))</f>
        <v/>
      </c>
      <c r="C21" s="17">
        <f>((IF((6&lt;=Calculator!$B$5),Calculator!$B$10*(1+Calculator!$B$11)^(6-1),0))+(IF((6&lt;=Calculator!$B$5),Calculator!$B$12*Calculator!$B$6,0)))+(IF(AND(6&gt;=1,6&lt;=$B$7),Calculator!$B$9*$B$8/$B$7,0))+(IF(6=1,Calculator!$B$9*(1-$B$8)+Calculator!$B$13*Calculator!$B$14,0))</f>
        <v/>
      </c>
      <c r="D21" s="17">
        <f>(B21-$B$5*C21)/((1+$B$6)^6)</f>
        <v/>
      </c>
    </row>
    <row r="22">
      <c r="A22" s="32" t="n">
        <v>7</v>
      </c>
      <c r="B22" s="17">
        <f>(IF(7=1,Calculator!$B$9+Calculator!$B$13*Calculator!$B$14,0))+(IF((7&lt;=Calculator!$B$5),Calculator!$B$10*(1+Calculator!$B$11)^(7-1),0))+(IF((7&lt;=Calculator!$B$5),Calculator!$B$12*Calculator!$B$6,0))</f>
        <v/>
      </c>
      <c r="C22" s="17">
        <f>((IF((7&lt;=Calculator!$B$5),Calculator!$B$10*(1+Calculator!$B$11)^(7-1),0))+(IF((7&lt;=Calculator!$B$5),Calculator!$B$12*Calculator!$B$6,0)))+(IF(AND(7&gt;=1,7&lt;=$B$7),Calculator!$B$9*$B$8/$B$7,0))+(IF(7=1,Calculator!$B$9*(1-$B$8)+Calculator!$B$13*Calculator!$B$14,0))</f>
        <v/>
      </c>
      <c r="D22" s="17">
        <f>(B22-$B$5*C22)/((1+$B$6)^7)</f>
        <v/>
      </c>
    </row>
    <row r="23">
      <c r="A23" s="32" t="n">
        <v>8</v>
      </c>
      <c r="B23" s="17">
        <f>(IF(8=1,Calculator!$B$9+Calculator!$B$13*Calculator!$B$14,0))+(IF((8&lt;=Calculator!$B$5),Calculator!$B$10*(1+Calculator!$B$11)^(8-1),0))+(IF((8&lt;=Calculator!$B$5),Calculator!$B$12*Calculator!$B$6,0))</f>
        <v/>
      </c>
      <c r="C23" s="17">
        <f>((IF((8&lt;=Calculator!$B$5),Calculator!$B$10*(1+Calculator!$B$11)^(8-1),0))+(IF((8&lt;=Calculator!$B$5),Calculator!$B$12*Calculator!$B$6,0)))+(IF(AND(8&gt;=1,8&lt;=$B$7),Calculator!$B$9*$B$8/$B$7,0))+(IF(8=1,Calculator!$B$9*(1-$B$8)+Calculator!$B$13*Calculator!$B$14,0))</f>
        <v/>
      </c>
      <c r="D23" s="17">
        <f>(B23-$B$5*C23)/((1+$B$6)^8)</f>
        <v/>
      </c>
    </row>
    <row r="24">
      <c r="A24" s="32" t="n">
        <v>9</v>
      </c>
      <c r="B24" s="17">
        <f>(IF(9=1,Calculator!$B$9+Calculator!$B$13*Calculator!$B$14,0))+(IF((9&lt;=Calculator!$B$5),Calculator!$B$10*(1+Calculator!$B$11)^(9-1),0))+(IF((9&lt;=Calculator!$B$5),Calculator!$B$12*Calculator!$B$6,0))</f>
        <v/>
      </c>
      <c r="C24" s="17">
        <f>((IF((9&lt;=Calculator!$B$5),Calculator!$B$10*(1+Calculator!$B$11)^(9-1),0))+(IF((9&lt;=Calculator!$B$5),Calculator!$B$12*Calculator!$B$6,0)))+(IF(AND(9&gt;=1,9&lt;=$B$7),Calculator!$B$9*$B$8/$B$7,0))+(IF(9=1,Calculator!$B$9*(1-$B$8)+Calculator!$B$13*Calculator!$B$14,0))</f>
        <v/>
      </c>
      <c r="D24" s="17">
        <f>(B24-$B$5*C24)/((1+$B$6)^9)</f>
        <v/>
      </c>
    </row>
    <row r="25">
      <c r="A25" s="32" t="n">
        <v>10</v>
      </c>
      <c r="B25" s="17">
        <f>(IF(10=1,Calculator!$B$9+Calculator!$B$13*Calculator!$B$14,0))+(IF((10&lt;=Calculator!$B$5),Calculator!$B$10*(1+Calculator!$B$11)^(10-1),0))+(IF((10&lt;=Calculator!$B$5),Calculator!$B$12*Calculator!$B$6,0))</f>
        <v/>
      </c>
      <c r="C25" s="17">
        <f>((IF((10&lt;=Calculator!$B$5),Calculator!$B$10*(1+Calculator!$B$11)^(10-1),0))+(IF((10&lt;=Calculator!$B$5),Calculator!$B$12*Calculator!$B$6,0)))+(IF(AND(10&gt;=1,10&lt;=$B$7),Calculator!$B$9*$B$8/$B$7,0))+(IF(10=1,Calculator!$B$9*(1-$B$8)+Calculator!$B$13*Calculator!$B$14,0))</f>
        <v/>
      </c>
      <c r="D25" s="17">
        <f>(B25-$B$5*C25)/((1+$B$6)^10)</f>
        <v/>
      </c>
    </row>
    <row r="26">
      <c r="A26" s="18" t="inlineStr">
        <is>
          <t>NPV of after-tax cost</t>
        </is>
      </c>
      <c r="B26" s="17">
        <f>SUM(B16:B25)</f>
        <v/>
      </c>
      <c r="C26" s="33" t="inlineStr">
        <is>
          <t>(nominal cash &lt;-)</t>
        </is>
      </c>
      <c r="D26" s="34">
        <f>SUM(D16:D25)</f>
        <v/>
      </c>
    </row>
    <row r="28">
      <c r="A28" s="35" t="inlineStr">
        <is>
          <t>BUY</t>
        </is>
      </c>
      <c r="B28" s="36" t="n"/>
      <c r="C28" s="36" t="n"/>
      <c r="D28" s="36" t="n"/>
    </row>
    <row r="29">
      <c r="A29" s="12" t="n"/>
      <c r="B29" s="12" t="n"/>
      <c r="C29" s="12" t="n"/>
      <c r="D29" s="12" t="n"/>
    </row>
    <row r="30">
      <c r="A30" s="32" t="n">
        <v>1</v>
      </c>
      <c r="B30" s="17">
        <f>(IF(1=1,Calculator!$C$9+Calculator!$C$13*Calculator!$C$14,0))+(IF((1&lt;=Calculator!$B$5),Calculator!$C$10*(1+Calculator!$C$11)^(1-1),0))+(IF((1&lt;=Calculator!$B$5),Calculator!$C$12*Calculator!$B$6,0))</f>
        <v/>
      </c>
      <c r="C30" s="17">
        <f>((IF((1&lt;=Calculator!$B$5),Calculator!$C$10*(1+Calculator!$C$11)^(1-1),0))+(IF((1&lt;=Calculator!$B$5),Calculator!$C$12*Calculator!$B$6,0)))+(IF(AND(1&gt;=1,1&lt;=$B$7),Calculator!$C$9*$B$9/$B$7,0))+(IF(1=1,Calculator!$C$9*(1-$B$9)+Calculator!$C$13*Calculator!$C$14,0))</f>
        <v/>
      </c>
      <c r="D30" s="17">
        <f>(B30-$B$5*C30)/((1+$B$6)^1)</f>
        <v/>
      </c>
    </row>
    <row r="31">
      <c r="A31" s="32" t="n">
        <v>2</v>
      </c>
      <c r="B31" s="17">
        <f>(IF(2=1,Calculator!$C$9+Calculator!$C$13*Calculator!$C$14,0))+(IF((2&lt;=Calculator!$B$5),Calculator!$C$10*(1+Calculator!$C$11)^(2-1),0))+(IF((2&lt;=Calculator!$B$5),Calculator!$C$12*Calculator!$B$6,0))</f>
        <v/>
      </c>
      <c r="C31" s="17">
        <f>((IF((2&lt;=Calculator!$B$5),Calculator!$C$10*(1+Calculator!$C$11)^(2-1),0))+(IF((2&lt;=Calculator!$B$5),Calculator!$C$12*Calculator!$B$6,0)))+(IF(AND(2&gt;=1,2&lt;=$B$7),Calculator!$C$9*$B$9/$B$7,0))+(IF(2=1,Calculator!$C$9*(1-$B$9)+Calculator!$C$13*Calculator!$C$14,0))</f>
        <v/>
      </c>
      <c r="D31" s="17">
        <f>(B31-$B$5*C31)/((1+$B$6)^2)</f>
        <v/>
      </c>
    </row>
    <row r="32">
      <c r="A32" s="32" t="n">
        <v>3</v>
      </c>
      <c r="B32" s="17">
        <f>(IF(3=1,Calculator!$C$9+Calculator!$C$13*Calculator!$C$14,0))+(IF((3&lt;=Calculator!$B$5),Calculator!$C$10*(1+Calculator!$C$11)^(3-1),0))+(IF((3&lt;=Calculator!$B$5),Calculator!$C$12*Calculator!$B$6,0))</f>
        <v/>
      </c>
      <c r="C32" s="17">
        <f>((IF((3&lt;=Calculator!$B$5),Calculator!$C$10*(1+Calculator!$C$11)^(3-1),0))+(IF((3&lt;=Calculator!$B$5),Calculator!$C$12*Calculator!$B$6,0)))+(IF(AND(3&gt;=1,3&lt;=$B$7),Calculator!$C$9*$B$9/$B$7,0))+(IF(3=1,Calculator!$C$9*(1-$B$9)+Calculator!$C$13*Calculator!$C$14,0))</f>
        <v/>
      </c>
      <c r="D32" s="17">
        <f>(B32-$B$5*C32)/((1+$B$6)^3)</f>
        <v/>
      </c>
    </row>
    <row r="33">
      <c r="A33" s="32" t="n">
        <v>4</v>
      </c>
      <c r="B33" s="17">
        <f>(IF(4=1,Calculator!$C$9+Calculator!$C$13*Calculator!$C$14,0))+(IF((4&lt;=Calculator!$B$5),Calculator!$C$10*(1+Calculator!$C$11)^(4-1),0))+(IF((4&lt;=Calculator!$B$5),Calculator!$C$12*Calculator!$B$6,0))</f>
        <v/>
      </c>
      <c r="C33" s="17">
        <f>((IF((4&lt;=Calculator!$B$5),Calculator!$C$10*(1+Calculator!$C$11)^(4-1),0))+(IF((4&lt;=Calculator!$B$5),Calculator!$C$12*Calculator!$B$6,0)))+(IF(AND(4&gt;=1,4&lt;=$B$7),Calculator!$C$9*$B$9/$B$7,0))+(IF(4=1,Calculator!$C$9*(1-$B$9)+Calculator!$C$13*Calculator!$C$14,0))</f>
        <v/>
      </c>
      <c r="D33" s="17">
        <f>(B33-$B$5*C33)/((1+$B$6)^4)</f>
        <v/>
      </c>
    </row>
    <row r="34">
      <c r="A34" s="32" t="n">
        <v>5</v>
      </c>
      <c r="B34" s="17">
        <f>(IF(5=1,Calculator!$C$9+Calculator!$C$13*Calculator!$C$14,0))+(IF((5&lt;=Calculator!$B$5),Calculator!$C$10*(1+Calculator!$C$11)^(5-1),0))+(IF((5&lt;=Calculator!$B$5),Calculator!$C$12*Calculator!$B$6,0))</f>
        <v/>
      </c>
      <c r="C34" s="17">
        <f>((IF((5&lt;=Calculator!$B$5),Calculator!$C$10*(1+Calculator!$C$11)^(5-1),0))+(IF((5&lt;=Calculator!$B$5),Calculator!$C$12*Calculator!$B$6,0)))+(IF(AND(5&gt;=1,5&lt;=$B$7),Calculator!$C$9*$B$9/$B$7,0))+(IF(5=1,Calculator!$C$9*(1-$B$9)+Calculator!$C$13*Calculator!$C$14,0))</f>
        <v/>
      </c>
      <c r="D34" s="17">
        <f>(B34-$B$5*C34)/((1+$B$6)^5)</f>
        <v/>
      </c>
    </row>
    <row r="35">
      <c r="A35" s="32" t="n">
        <v>6</v>
      </c>
      <c r="B35" s="17">
        <f>(IF(6=1,Calculator!$C$9+Calculator!$C$13*Calculator!$C$14,0))+(IF((6&lt;=Calculator!$B$5),Calculator!$C$10*(1+Calculator!$C$11)^(6-1),0))+(IF((6&lt;=Calculator!$B$5),Calculator!$C$12*Calculator!$B$6,0))</f>
        <v/>
      </c>
      <c r="C35" s="17">
        <f>((IF((6&lt;=Calculator!$B$5),Calculator!$C$10*(1+Calculator!$C$11)^(6-1),0))+(IF((6&lt;=Calculator!$B$5),Calculator!$C$12*Calculator!$B$6,0)))+(IF(AND(6&gt;=1,6&lt;=$B$7),Calculator!$C$9*$B$9/$B$7,0))+(IF(6=1,Calculator!$C$9*(1-$B$9)+Calculator!$C$13*Calculator!$C$14,0))</f>
        <v/>
      </c>
      <c r="D35" s="17">
        <f>(B35-$B$5*C35)/((1+$B$6)^6)</f>
        <v/>
      </c>
    </row>
    <row r="36">
      <c r="A36" s="32" t="n">
        <v>7</v>
      </c>
      <c r="B36" s="17">
        <f>(IF(7=1,Calculator!$C$9+Calculator!$C$13*Calculator!$C$14,0))+(IF((7&lt;=Calculator!$B$5),Calculator!$C$10*(1+Calculator!$C$11)^(7-1),0))+(IF((7&lt;=Calculator!$B$5),Calculator!$C$12*Calculator!$B$6,0))</f>
        <v/>
      </c>
      <c r="C36" s="17">
        <f>((IF((7&lt;=Calculator!$B$5),Calculator!$C$10*(1+Calculator!$C$11)^(7-1),0))+(IF((7&lt;=Calculator!$B$5),Calculator!$C$12*Calculator!$B$6,0)))+(IF(AND(7&gt;=1,7&lt;=$B$7),Calculator!$C$9*$B$9/$B$7,0))+(IF(7=1,Calculator!$C$9*(1-$B$9)+Calculator!$C$13*Calculator!$C$14,0))</f>
        <v/>
      </c>
      <c r="D36" s="17">
        <f>(B36-$B$5*C36)/((1+$B$6)^7)</f>
        <v/>
      </c>
    </row>
    <row r="37">
      <c r="A37" s="32" t="n">
        <v>8</v>
      </c>
      <c r="B37" s="17">
        <f>(IF(8=1,Calculator!$C$9+Calculator!$C$13*Calculator!$C$14,0))+(IF((8&lt;=Calculator!$B$5),Calculator!$C$10*(1+Calculator!$C$11)^(8-1),0))+(IF((8&lt;=Calculator!$B$5),Calculator!$C$12*Calculator!$B$6,0))</f>
        <v/>
      </c>
      <c r="C37" s="17">
        <f>((IF((8&lt;=Calculator!$B$5),Calculator!$C$10*(1+Calculator!$C$11)^(8-1),0))+(IF((8&lt;=Calculator!$B$5),Calculator!$C$12*Calculator!$B$6,0)))+(IF(AND(8&gt;=1,8&lt;=$B$7),Calculator!$C$9*$B$9/$B$7,0))+(IF(8=1,Calculator!$C$9*(1-$B$9)+Calculator!$C$13*Calculator!$C$14,0))</f>
        <v/>
      </c>
      <c r="D37" s="17">
        <f>(B37-$B$5*C37)/((1+$B$6)^8)</f>
        <v/>
      </c>
    </row>
    <row r="38">
      <c r="A38" s="32" t="n">
        <v>9</v>
      </c>
      <c r="B38" s="17">
        <f>(IF(9=1,Calculator!$C$9+Calculator!$C$13*Calculator!$C$14,0))+(IF((9&lt;=Calculator!$B$5),Calculator!$C$10*(1+Calculator!$C$11)^(9-1),0))+(IF((9&lt;=Calculator!$B$5),Calculator!$C$12*Calculator!$B$6,0))</f>
        <v/>
      </c>
      <c r="C38" s="17">
        <f>((IF((9&lt;=Calculator!$B$5),Calculator!$C$10*(1+Calculator!$C$11)^(9-1),0))+(IF((9&lt;=Calculator!$B$5),Calculator!$C$12*Calculator!$B$6,0)))+(IF(AND(9&gt;=1,9&lt;=$B$7),Calculator!$C$9*$B$9/$B$7,0))+(IF(9=1,Calculator!$C$9*(1-$B$9)+Calculator!$C$13*Calculator!$C$14,0))</f>
        <v/>
      </c>
      <c r="D38" s="17">
        <f>(B38-$B$5*C38)/((1+$B$6)^9)</f>
        <v/>
      </c>
    </row>
    <row r="39">
      <c r="A39" s="32" t="n">
        <v>10</v>
      </c>
      <c r="B39" s="17">
        <f>(IF(10=1,Calculator!$C$9+Calculator!$C$13*Calculator!$C$14,0))+(IF((10&lt;=Calculator!$B$5),Calculator!$C$10*(1+Calculator!$C$11)^(10-1),0))+(IF((10&lt;=Calculator!$B$5),Calculator!$C$12*Calculator!$B$6,0))</f>
        <v/>
      </c>
      <c r="C39" s="17">
        <f>((IF((10&lt;=Calculator!$B$5),Calculator!$C$10*(1+Calculator!$C$11)^(10-1),0))+(IF((10&lt;=Calculator!$B$5),Calculator!$C$12*Calculator!$B$6,0)))+(IF(AND(10&gt;=1,10&lt;=$B$7),Calculator!$C$9*$B$9/$B$7,0))+(IF(10=1,Calculator!$C$9*(1-$B$9)+Calculator!$C$13*Calculator!$C$14,0))</f>
        <v/>
      </c>
      <c r="D39" s="17">
        <f>(B39-$B$5*C39)/((1+$B$6)^10)</f>
        <v/>
      </c>
    </row>
    <row r="40">
      <c r="A40" s="18" t="inlineStr">
        <is>
          <t>NPV of after-tax cost</t>
        </is>
      </c>
      <c r="B40" s="17">
        <f>SUM(B30:B39)</f>
        <v/>
      </c>
      <c r="C40" s="33" t="inlineStr">
        <is>
          <t>(nominal cash &lt;-)</t>
        </is>
      </c>
      <c r="D40" s="34">
        <f>SUM(D30:D39)</f>
        <v/>
      </c>
    </row>
    <row r="42">
      <c r="A42" s="37" t="inlineStr">
        <is>
          <t>AUTOMATE</t>
        </is>
      </c>
      <c r="B42" s="38" t="n"/>
      <c r="C42" s="38" t="n"/>
      <c r="D42" s="38" t="n"/>
    </row>
    <row r="43">
      <c r="A43" s="12" t="n"/>
      <c r="B43" s="12" t="n"/>
      <c r="C43" s="12" t="n"/>
      <c r="D43" s="12" t="n"/>
    </row>
    <row r="44">
      <c r="A44" s="32" t="n">
        <v>1</v>
      </c>
      <c r="B44" s="17">
        <f>(IF(1=1,Calculator!$D$9+Calculator!$D$13*Calculator!$D$14,0))+(IF((1&lt;=Calculator!$B$5),Calculator!$D$10*(1+Calculator!$D$11)^(1-1),0))+(IF((1&lt;=Calculator!$B$5),Calculator!$D$12*Calculator!$B$6,0))</f>
        <v/>
      </c>
      <c r="C44" s="17">
        <f>((IF((1&lt;=Calculator!$B$5),Calculator!$D$10*(1+Calculator!$D$11)^(1-1),0))+(IF((1&lt;=Calculator!$B$5),Calculator!$D$12*Calculator!$B$6,0)))+(IF(AND(1&gt;=1,1&lt;=$B$7),Calculator!$D$9*$B$10/$B$7,0))+(IF(1=1,Calculator!$D$9*(1-$B$10)+Calculator!$D$13*Calculator!$D$14,0))</f>
        <v/>
      </c>
      <c r="D44" s="17">
        <f>(B44-$B$5*C44)/((1+$B$6)^1)</f>
        <v/>
      </c>
    </row>
    <row r="45">
      <c r="A45" s="32" t="n">
        <v>2</v>
      </c>
      <c r="B45" s="17">
        <f>(IF(2=1,Calculator!$D$9+Calculator!$D$13*Calculator!$D$14,0))+(IF((2&lt;=Calculator!$B$5),Calculator!$D$10*(1+Calculator!$D$11)^(2-1),0))+(IF((2&lt;=Calculator!$B$5),Calculator!$D$12*Calculator!$B$6,0))</f>
        <v/>
      </c>
      <c r="C45" s="17">
        <f>((IF((2&lt;=Calculator!$B$5),Calculator!$D$10*(1+Calculator!$D$11)^(2-1),0))+(IF((2&lt;=Calculator!$B$5),Calculator!$D$12*Calculator!$B$6,0)))+(IF(AND(2&gt;=1,2&lt;=$B$7),Calculator!$D$9*$B$10/$B$7,0))+(IF(2=1,Calculator!$D$9*(1-$B$10)+Calculator!$D$13*Calculator!$D$14,0))</f>
        <v/>
      </c>
      <c r="D45" s="17">
        <f>(B45-$B$5*C45)/((1+$B$6)^2)</f>
        <v/>
      </c>
    </row>
    <row r="46">
      <c r="A46" s="32" t="n">
        <v>3</v>
      </c>
      <c r="B46" s="17">
        <f>(IF(3=1,Calculator!$D$9+Calculator!$D$13*Calculator!$D$14,0))+(IF((3&lt;=Calculator!$B$5),Calculator!$D$10*(1+Calculator!$D$11)^(3-1),0))+(IF((3&lt;=Calculator!$B$5),Calculator!$D$12*Calculator!$B$6,0))</f>
        <v/>
      </c>
      <c r="C46" s="17">
        <f>((IF((3&lt;=Calculator!$B$5),Calculator!$D$10*(1+Calculator!$D$11)^(3-1),0))+(IF((3&lt;=Calculator!$B$5),Calculator!$D$12*Calculator!$B$6,0)))+(IF(AND(3&gt;=1,3&lt;=$B$7),Calculator!$D$9*$B$10/$B$7,0))+(IF(3=1,Calculator!$D$9*(1-$B$10)+Calculator!$D$13*Calculator!$D$14,0))</f>
        <v/>
      </c>
      <c r="D46" s="17">
        <f>(B46-$B$5*C46)/((1+$B$6)^3)</f>
        <v/>
      </c>
    </row>
    <row r="47">
      <c r="A47" s="32" t="n">
        <v>4</v>
      </c>
      <c r="B47" s="17">
        <f>(IF(4=1,Calculator!$D$9+Calculator!$D$13*Calculator!$D$14,0))+(IF((4&lt;=Calculator!$B$5),Calculator!$D$10*(1+Calculator!$D$11)^(4-1),0))+(IF((4&lt;=Calculator!$B$5),Calculator!$D$12*Calculator!$B$6,0))</f>
        <v/>
      </c>
      <c r="C47" s="17">
        <f>((IF((4&lt;=Calculator!$B$5),Calculator!$D$10*(1+Calculator!$D$11)^(4-1),0))+(IF((4&lt;=Calculator!$B$5),Calculator!$D$12*Calculator!$B$6,0)))+(IF(AND(4&gt;=1,4&lt;=$B$7),Calculator!$D$9*$B$10/$B$7,0))+(IF(4=1,Calculator!$D$9*(1-$B$10)+Calculator!$D$13*Calculator!$D$14,0))</f>
        <v/>
      </c>
      <c r="D47" s="17">
        <f>(B47-$B$5*C47)/((1+$B$6)^4)</f>
        <v/>
      </c>
    </row>
    <row r="48">
      <c r="A48" s="32" t="n">
        <v>5</v>
      </c>
      <c r="B48" s="17">
        <f>(IF(5=1,Calculator!$D$9+Calculator!$D$13*Calculator!$D$14,0))+(IF((5&lt;=Calculator!$B$5),Calculator!$D$10*(1+Calculator!$D$11)^(5-1),0))+(IF((5&lt;=Calculator!$B$5),Calculator!$D$12*Calculator!$B$6,0))</f>
        <v/>
      </c>
      <c r="C48" s="17">
        <f>((IF((5&lt;=Calculator!$B$5),Calculator!$D$10*(1+Calculator!$D$11)^(5-1),0))+(IF((5&lt;=Calculator!$B$5),Calculator!$D$12*Calculator!$B$6,0)))+(IF(AND(5&gt;=1,5&lt;=$B$7),Calculator!$D$9*$B$10/$B$7,0))+(IF(5=1,Calculator!$D$9*(1-$B$10)+Calculator!$D$13*Calculator!$D$14,0))</f>
        <v/>
      </c>
      <c r="D48" s="17">
        <f>(B48-$B$5*C48)/((1+$B$6)^5)</f>
        <v/>
      </c>
    </row>
    <row r="49">
      <c r="A49" s="32" t="n">
        <v>6</v>
      </c>
      <c r="B49" s="17">
        <f>(IF(6=1,Calculator!$D$9+Calculator!$D$13*Calculator!$D$14,0))+(IF((6&lt;=Calculator!$B$5),Calculator!$D$10*(1+Calculator!$D$11)^(6-1),0))+(IF((6&lt;=Calculator!$B$5),Calculator!$D$12*Calculator!$B$6,0))</f>
        <v/>
      </c>
      <c r="C49" s="17">
        <f>((IF((6&lt;=Calculator!$B$5),Calculator!$D$10*(1+Calculator!$D$11)^(6-1),0))+(IF((6&lt;=Calculator!$B$5),Calculator!$D$12*Calculator!$B$6,0)))+(IF(AND(6&gt;=1,6&lt;=$B$7),Calculator!$D$9*$B$10/$B$7,0))+(IF(6=1,Calculator!$D$9*(1-$B$10)+Calculator!$D$13*Calculator!$D$14,0))</f>
        <v/>
      </c>
      <c r="D49" s="17">
        <f>(B49-$B$5*C49)/((1+$B$6)^6)</f>
        <v/>
      </c>
    </row>
    <row r="50">
      <c r="A50" s="32" t="n">
        <v>7</v>
      </c>
      <c r="B50" s="17">
        <f>(IF(7=1,Calculator!$D$9+Calculator!$D$13*Calculator!$D$14,0))+(IF((7&lt;=Calculator!$B$5),Calculator!$D$10*(1+Calculator!$D$11)^(7-1),0))+(IF((7&lt;=Calculator!$B$5),Calculator!$D$12*Calculator!$B$6,0))</f>
        <v/>
      </c>
      <c r="C50" s="17">
        <f>((IF((7&lt;=Calculator!$B$5),Calculator!$D$10*(1+Calculator!$D$11)^(7-1),0))+(IF((7&lt;=Calculator!$B$5),Calculator!$D$12*Calculator!$B$6,0)))+(IF(AND(7&gt;=1,7&lt;=$B$7),Calculator!$D$9*$B$10/$B$7,0))+(IF(7=1,Calculator!$D$9*(1-$B$10)+Calculator!$D$13*Calculator!$D$14,0))</f>
        <v/>
      </c>
      <c r="D50" s="17">
        <f>(B50-$B$5*C50)/((1+$B$6)^7)</f>
        <v/>
      </c>
    </row>
    <row r="51">
      <c r="A51" s="32" t="n">
        <v>8</v>
      </c>
      <c r="B51" s="17">
        <f>(IF(8=1,Calculator!$D$9+Calculator!$D$13*Calculator!$D$14,0))+(IF((8&lt;=Calculator!$B$5),Calculator!$D$10*(1+Calculator!$D$11)^(8-1),0))+(IF((8&lt;=Calculator!$B$5),Calculator!$D$12*Calculator!$B$6,0))</f>
        <v/>
      </c>
      <c r="C51" s="17">
        <f>((IF((8&lt;=Calculator!$B$5),Calculator!$D$10*(1+Calculator!$D$11)^(8-1),0))+(IF((8&lt;=Calculator!$B$5),Calculator!$D$12*Calculator!$B$6,0)))+(IF(AND(8&gt;=1,8&lt;=$B$7),Calculator!$D$9*$B$10/$B$7,0))+(IF(8=1,Calculator!$D$9*(1-$B$10)+Calculator!$D$13*Calculator!$D$14,0))</f>
        <v/>
      </c>
      <c r="D51" s="17">
        <f>(B51-$B$5*C51)/((1+$B$6)^8)</f>
        <v/>
      </c>
    </row>
    <row r="52">
      <c r="A52" s="32" t="n">
        <v>9</v>
      </c>
      <c r="B52" s="17">
        <f>(IF(9=1,Calculator!$D$9+Calculator!$D$13*Calculator!$D$14,0))+(IF((9&lt;=Calculator!$B$5),Calculator!$D$10*(1+Calculator!$D$11)^(9-1),0))+(IF((9&lt;=Calculator!$B$5),Calculator!$D$12*Calculator!$B$6,0))</f>
        <v/>
      </c>
      <c r="C52" s="17">
        <f>((IF((9&lt;=Calculator!$B$5),Calculator!$D$10*(1+Calculator!$D$11)^(9-1),0))+(IF((9&lt;=Calculator!$B$5),Calculator!$D$12*Calculator!$B$6,0)))+(IF(AND(9&gt;=1,9&lt;=$B$7),Calculator!$D$9*$B$10/$B$7,0))+(IF(9=1,Calculator!$D$9*(1-$B$10)+Calculator!$D$13*Calculator!$D$14,0))</f>
        <v/>
      </c>
      <c r="D52" s="17">
        <f>(B52-$B$5*C52)/((1+$B$6)^9)</f>
        <v/>
      </c>
    </row>
    <row r="53">
      <c r="A53" s="32" t="n">
        <v>10</v>
      </c>
      <c r="B53" s="17">
        <f>(IF(10=1,Calculator!$D$9+Calculator!$D$13*Calculator!$D$14,0))+(IF((10&lt;=Calculator!$B$5),Calculator!$D$10*(1+Calculator!$D$11)^(10-1),0))+(IF((10&lt;=Calculator!$B$5),Calculator!$D$12*Calculator!$B$6,0))</f>
        <v/>
      </c>
      <c r="C53" s="17">
        <f>((IF((10&lt;=Calculator!$B$5),Calculator!$D$10*(1+Calculator!$D$11)^(10-1),0))+(IF((10&lt;=Calculator!$B$5),Calculator!$D$12*Calculator!$B$6,0)))+(IF(AND(10&gt;=1,10&lt;=$B$7),Calculator!$D$9*$B$10/$B$7,0))+(IF(10=1,Calculator!$D$9*(1-$B$10)+Calculator!$D$13*Calculator!$D$14,0))</f>
        <v/>
      </c>
      <c r="D53" s="17">
        <f>(B53-$B$5*C53)/((1+$B$6)^10)</f>
        <v/>
      </c>
    </row>
    <row r="54">
      <c r="A54" s="18" t="inlineStr">
        <is>
          <t>NPV of after-tax cost</t>
        </is>
      </c>
      <c r="B54" s="17">
        <f>SUM(B44:B53)</f>
        <v/>
      </c>
      <c r="C54" s="33" t="inlineStr">
        <is>
          <t>(nominal cash &lt;-)</t>
        </is>
      </c>
      <c r="D54" s="34">
        <f>SUM(D44:D53)</f>
        <v/>
      </c>
    </row>
    <row r="56">
      <c r="A56" s="6" t="inlineStr">
        <is>
          <t>Summary</t>
        </is>
      </c>
      <c r="B56" s="7" t="n"/>
      <c r="C56" s="7" t="n"/>
      <c r="D56" s="7" t="n"/>
    </row>
    <row r="57">
      <c r="A57" s="12" t="n"/>
      <c r="B57" s="12" t="n"/>
      <c r="C57" s="12" t="n"/>
      <c r="D57" s="12" t="n"/>
    </row>
    <row r="58">
      <c r="A58" s="8" t="inlineStr">
        <is>
          <t>Nominal 5-yr cash ($)</t>
        </is>
      </c>
      <c r="B58" s="17">
        <f>B26</f>
        <v/>
      </c>
      <c r="C58" s="17">
        <f>B40</f>
        <v/>
      </c>
      <c r="D58" s="17">
        <f>B54</f>
        <v/>
      </c>
    </row>
    <row r="59">
      <c r="A59" s="18" t="inlineStr">
        <is>
          <t>After-tax NPV ($)</t>
        </is>
      </c>
      <c r="B59" s="34">
        <f>D26</f>
        <v/>
      </c>
      <c r="C59" s="34">
        <f>D40</f>
        <v/>
      </c>
      <c r="D59" s="34">
        <f>D54</f>
        <v/>
      </c>
    </row>
    <row r="60">
      <c r="A60" s="39" t="inlineStr">
        <is>
          <t>Lowest after-tax NPV</t>
        </is>
      </c>
      <c r="B60" s="22">
        <f>INDEX({"BUILD","BUY","AUTOMATE"},MATCH(MIN(B59:D59),B59:D59,0))</f>
        <v/>
      </c>
      <c r="C60" s="23" t="n"/>
      <c r="D60" s="24" t="n"/>
    </row>
    <row r="62" ht="56" customHeight="1">
      <c r="A62" s="25" t="inlineStr">
        <is>
          <t>NOT TAX ADVICE. Section 174, bonus depreciation, and capitalization rules change with legislation and vary by jurisdiction and company. Every tax assumption above is an editable blue cell with an illustrative default. Confirm treatment with your finance and tax team. The after-tax NPV, not the nominal cash, is the number most finance teams decide on.</t>
        </is>
      </c>
    </row>
  </sheetData>
  <mergeCells count="4">
    <mergeCell ref="A12:D12"/>
    <mergeCell ref="A62:D62"/>
    <mergeCell ref="B60:D60"/>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2026-10-06T18:13:47Z</dcterms:created>
  <dcterms:modified xmlns:dcterms="http://purl.org/dc/terms/" xmlns:xsi="http://www.w3.org/2001/XMLSchema-instance" xsi:type="dcterms:W3CDTF">2026-10-06T18:13:47Z</dcterms:modified>
</cp:coreProperties>
</file>