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Calculator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&quot;$&quot;#,##0"/>
  </numFmts>
  <fonts count="8">
    <font>
      <name val="Calibri"/>
      <family val="2"/>
      <color theme="1"/>
      <sz val="11"/>
      <scheme val="minor"/>
    </font>
    <font>
      <name val="Calibri"/>
      <b val="1"/>
      <color rgb="0024292F"/>
      <sz val="16"/>
    </font>
    <font>
      <name val="Calibri"/>
      <i val="1"/>
      <color rgb="0057606A"/>
      <sz val="9"/>
    </font>
    <font>
      <name val="Calibri"/>
      <b val="1"/>
      <color rgb="0024292F"/>
      <sz val="11"/>
    </font>
    <font>
      <name val="Calibri"/>
      <color rgb="0024292F"/>
      <sz val="11"/>
    </font>
    <font>
      <name val="Calibri"/>
      <b val="1"/>
      <color rgb="000A3069"/>
      <sz val="11"/>
    </font>
    <font>
      <name val="Calibri"/>
      <b val="1"/>
      <color rgb="00FFFFFF"/>
      <sz val="12"/>
    </font>
    <font>
      <name val="Calibri"/>
      <b val="1"/>
      <color rgb="0024292F"/>
      <sz val="12"/>
    </font>
  </fonts>
  <fills count="9">
    <fill>
      <patternFill/>
    </fill>
    <fill>
      <patternFill patternType="gray125"/>
    </fill>
    <fill>
      <patternFill patternType="solid">
        <fgColor rgb="00F6F8FA"/>
      </patternFill>
    </fill>
    <fill>
      <patternFill patternType="solid">
        <fgColor rgb="00DDEBF7"/>
      </patternFill>
    </fill>
    <fill>
      <patternFill patternType="solid">
        <fgColor rgb="0024292F"/>
      </patternFill>
    </fill>
    <fill>
      <patternFill patternType="solid">
        <fgColor rgb="001A7F37"/>
      </patternFill>
    </fill>
    <fill>
      <patternFill patternType="solid">
        <fgColor rgb="000969DA"/>
      </patternFill>
    </fill>
    <fill>
      <patternFill patternType="solid">
        <fgColor rgb="00BF8700"/>
      </patternFill>
    </fill>
    <fill>
      <patternFill patternType="solid">
        <fgColor rgb="00FFF8C5"/>
      </patternFill>
    </fill>
  </fills>
  <borders count="7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 style="thin">
        <color rgb="00D0D7DE"/>
      </left>
      <right style="thin">
        <color rgb="00D0D7DE"/>
      </right>
      <top style="medium">
        <color rgb="0024292F"/>
      </top>
      <bottom style="medium">
        <color rgb="0024292F"/>
      </bottom>
    </border>
    <border>
      <left/>
      <right/>
      <top style="thin">
        <color rgb="00D0D7DE"/>
      </top>
      <bottom/>
      <diagonal/>
    </border>
    <border>
      <left/>
      <right style="thin">
        <color rgb="00D0D7DE"/>
      </right>
      <top style="thin">
        <color rgb="00D0D7DE"/>
      </top>
      <bottom/>
      <diagonal/>
    </border>
    <border>
      <left/>
      <right/>
      <top style="thin">
        <color rgb="00D0D7DE"/>
      </top>
      <bottom style="thin">
        <color rgb="00D0D7DE"/>
      </bottom>
      <diagonal/>
    </border>
    <border>
      <left/>
      <right style="thin">
        <color rgb="00D0D7DE"/>
      </right>
      <top style="thin">
        <color rgb="00D0D7DE"/>
      </top>
      <bottom style="thin">
        <color rgb="00D0D7DE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3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4" fillId="0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9" fontId="5" fillId="3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 wrapText="1"/>
    </xf>
    <xf numFmtId="165" fontId="7" fillId="8" borderId="2" applyAlignment="1" pivotButton="0" quotePrefix="0" xfId="0">
      <alignment horizontal="right" vertical="center"/>
    </xf>
    <xf numFmtId="9" fontId="4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left" vertical="top" wrapText="1"/>
    </xf>
    <xf numFmtId="165" fontId="0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165" fontId="0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0" customWidth="1" min="2" max="2"/>
  </cols>
  <sheetData>
    <row r="2">
      <c r="B2" s="1" t="inlineStr">
        <is>
          <t>Build vs. Buy vs. Automate: TCO Calculator</t>
        </is>
      </c>
    </row>
    <row r="3">
      <c r="B3" s="2" t="inlineStr">
        <is>
          <t>Companion to Engineering Economics, Part 5. A working five-year total-cost-of-ownership model.</t>
        </is>
      </c>
    </row>
    <row r="5">
      <c r="B5" s="3" t="inlineStr">
        <is>
          <t>How to use this</t>
        </is>
      </c>
    </row>
    <row r="6">
      <c r="B6" s="4" t="inlineStr">
        <is>
          <t>1. Open the 'Calculator' tab.</t>
        </is>
      </c>
    </row>
    <row r="7">
      <c r="B7" s="4" t="inlineStr">
        <is>
          <t>2. Edit only the shaded blue cells. Those are your assumptions. Everything else is a formula.</t>
        </is>
      </c>
    </row>
    <row r="8">
      <c r="B8" s="4" t="inlineStr">
        <is>
          <t>3. Read the five-year totals and the winner at the bottom. Change an assumption and watch them move.</t>
        </is>
      </c>
    </row>
    <row r="9">
      <c r="B9" s="4" t="inlineStr">
        <is>
          <t>4. Use the 'Sensitivity' tab to see whether the decision flips when maintenance is cheaper or more expensive.</t>
        </is>
      </c>
    </row>
    <row r="10">
      <c r="B10" s="4" t="inlineStr"/>
    </row>
    <row r="11">
      <c r="B11" s="3" t="inlineStr">
        <is>
          <t>The one idea this model exists to enforce</t>
        </is>
      </c>
    </row>
    <row r="12">
      <c r="B12" s="4" t="inlineStr">
        <is>
          <t>Initial development is roughly 20% of a system's lifetime cost. Maintenance is the other 60-80%.</t>
        </is>
      </c>
    </row>
    <row r="13">
      <c r="B13" s="4" t="inlineStr">
        <is>
          <t>A build estimate that stops at 'one quarter' has priced about a fifth of the real total. This</t>
        </is>
      </c>
    </row>
    <row r="14">
      <c r="B14" s="4" t="inlineStr">
        <is>
          <t>model forces the other four-fifths onto the page by making you enter a yearly maintenance number</t>
        </is>
      </c>
    </row>
    <row r="15">
      <c r="B15" s="4" t="inlineStr">
        <is>
          <t>and multiplying it across the time horizon.</t>
        </is>
      </c>
    </row>
    <row r="16">
      <c r="B16" s="4" t="inlineStr"/>
    </row>
    <row r="17">
      <c r="B17" s="3" t="inlineStr">
        <is>
          <t>The three columns</t>
        </is>
      </c>
    </row>
    <row r="18">
      <c r="B18" s="4" t="inlineStr">
        <is>
          <t>BUILD    - you build it on open source / in-house. Low or zero license, high maintenance.</t>
        </is>
      </c>
    </row>
    <row r="19">
      <c r="B19" s="4" t="inlineStr">
        <is>
          <t>BUY      - you license a product. The fee is visible; integration and renewal escalation are not.</t>
        </is>
      </c>
    </row>
    <row r="20">
      <c r="B20" s="4" t="inlineStr">
        <is>
          <t>AUTOMATE - you script around the need with tools you already run. Cheapest, but often covers less.</t>
        </is>
      </c>
    </row>
    <row r="21">
      <c r="B21" s="4" t="inlineStr"/>
    </row>
    <row r="22">
      <c r="B22" s="3" t="inlineStr">
        <is>
          <t>Honest limits (read these)</t>
        </is>
      </c>
    </row>
    <row r="23">
      <c r="B23" s="4" t="inlineStr">
        <is>
          <t>- The maintenance figure drives the whole result and is the hardest to predict. Use the Sensitivity tab.</t>
        </is>
      </c>
    </row>
    <row r="24">
      <c r="B24" s="4" t="inlineStr">
        <is>
          <t>- This models cost, not value or capability. Automate is cheapest here precisely because it often does less.</t>
        </is>
      </c>
    </row>
    <row r="25">
      <c r="B25" s="4" t="inlineStr">
        <is>
          <t>- Loaded cost means salary + benefits + payroll tax + equipment + overhead, not base salary.</t>
        </is>
      </c>
    </row>
    <row r="26">
      <c r="B26" s="4" t="inlineStr">
        <is>
          <t>- Don't build a five-year model to decide on a $50/month tool. Use it for large, durable, hard-to-reverse calls.</t>
        </is>
      </c>
    </row>
    <row r="27">
      <c r="B27" s="4" t="inlineStr"/>
    </row>
    <row r="28">
      <c r="B28" s="4" t="inlineStr">
        <is>
          <t>Default numbers are illustrative, from the article. Replace every blue cell with your own.</t>
        </is>
      </c>
    </row>
    <row r="30">
      <c r="B30" s="5" t="inlineStr">
        <is>
          <t>Blue cells = your inputs. Edit these.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4" customWidth="1" min="5" max="5"/>
  </cols>
  <sheetData>
    <row r="1">
      <c r="A1" s="1" t="inlineStr">
        <is>
          <t>Five-Year TCO Calculator</t>
        </is>
      </c>
    </row>
    <row r="2">
      <c r="A2" s="2" t="inlineStr">
        <is>
          <t>Edit the blue cells. Totals recalculate automatically.</t>
        </is>
      </c>
    </row>
    <row r="4">
      <c r="A4" s="6" t="inlineStr">
        <is>
          <t>Shared assumptions</t>
        </is>
      </c>
      <c r="B4" s="7" t="n"/>
      <c r="C4" s="7" t="n"/>
      <c r="D4" s="7" t="n"/>
    </row>
    <row r="5">
      <c r="A5" s="8" t="inlineStr">
        <is>
          <t>Time horizon (years)</t>
        </is>
      </c>
      <c r="B5" s="9" t="n">
        <v>5</v>
      </c>
    </row>
    <row r="6">
      <c r="A6" s="8" t="inlineStr">
        <is>
          <t>Fully loaded engineer cost ($/year)</t>
        </is>
      </c>
      <c r="B6" s="10" t="n">
        <v>250000</v>
      </c>
      <c r="C6" s="11" t="inlineStr">
        <is>
          <t>salary + benefits + tax + overhead</t>
        </is>
      </c>
    </row>
    <row r="8">
      <c r="A8" s="12" t="inlineStr">
        <is>
          <t>Cost driver</t>
        </is>
      </c>
      <c r="B8" s="13" t="inlineStr">
        <is>
          <t>BUILD</t>
        </is>
      </c>
      <c r="C8" s="14" t="inlineStr">
        <is>
          <t>BUY</t>
        </is>
      </c>
      <c r="D8" s="15" t="inlineStr">
        <is>
          <t>AUTOMATE</t>
        </is>
      </c>
    </row>
    <row r="9">
      <c r="A9" s="8" t="inlineStr">
        <is>
          <t>Initial build / setup / integration ($)</t>
        </is>
      </c>
      <c r="B9" s="10" t="n">
        <v>125000</v>
      </c>
      <c r="C9" s="10" t="n">
        <v>90000</v>
      </c>
      <c r="D9" s="10" t="n">
        <v>30000</v>
      </c>
    </row>
    <row r="10">
      <c r="A10" s="8" t="inlineStr">
        <is>
          <t>Annual license / subscription (year 1, $)</t>
        </is>
      </c>
      <c r="B10" s="10" t="n">
        <v>0</v>
      </c>
      <c r="C10" s="10" t="n">
        <v>80000</v>
      </c>
      <c r="D10" s="10" t="n">
        <v>0</v>
      </c>
    </row>
    <row r="11">
      <c r="A11" s="8" t="inlineStr">
        <is>
          <t>License annual escalation (%)</t>
        </is>
      </c>
      <c r="B11" s="16" t="n">
        <v>0</v>
      </c>
      <c r="C11" s="16" t="n">
        <v>0.1</v>
      </c>
      <c r="D11" s="16" t="n">
        <v>0</v>
      </c>
    </row>
    <row r="12">
      <c r="A12" s="8" t="inlineStr">
        <is>
          <t>Annual maintenance effort (FTE)</t>
        </is>
      </c>
      <c r="B12" s="9" t="n">
        <v>0.5</v>
      </c>
      <c r="C12" s="9" t="n">
        <v>0.1</v>
      </c>
      <c r="D12" s="9" t="n">
        <v>0.08</v>
      </c>
    </row>
    <row r="13">
      <c r="A13" s="8" t="inlineStr">
        <is>
          <t>One-time switching / exit cost ($)</t>
        </is>
      </c>
      <c r="B13" s="10" t="n">
        <v>0</v>
      </c>
      <c r="C13" s="10" t="n">
        <v>0</v>
      </c>
      <c r="D13" s="10" t="n">
        <v>0</v>
      </c>
    </row>
    <row r="14">
      <c r="A14" s="8" t="inlineStr">
        <is>
          <t>Probability of switching within horizon (%)</t>
        </is>
      </c>
      <c r="B14" s="16" t="n">
        <v>0</v>
      </c>
      <c r="C14" s="16" t="n">
        <v>0.2</v>
      </c>
      <c r="D14" s="16" t="n">
        <v>0</v>
      </c>
    </row>
    <row r="15">
      <c r="A15" s="6" t="inlineStr">
        <is>
          <t>Computed</t>
        </is>
      </c>
      <c r="B15" s="7" t="n"/>
      <c r="C15" s="7" t="n"/>
      <c r="D15" s="7" t="n"/>
    </row>
    <row r="16">
      <c r="A16" s="8" t="inlineStr">
        <is>
          <t>License total over horizon ($)</t>
        </is>
      </c>
      <c r="B16" s="17">
        <f>IF(B11=0,B10*$B$5,B10*(1-(1+B11)^$B$5)/(1-(1+B11)))</f>
        <v/>
      </c>
      <c r="C16" s="17">
        <f>IF(C11=0,C10*$B$5,C10*(1-(1+C11)^$B$5)/(1-(1+C11)))</f>
        <v/>
      </c>
      <c r="D16" s="17">
        <f>IF(D11=0,D10*$B$5,D10*(1-(1+D11)^$B$5)/(1-(1+D11)))</f>
        <v/>
      </c>
    </row>
    <row r="17">
      <c r="A17" s="8" t="inlineStr">
        <is>
          <t>Maintenance total over horizon ($)</t>
        </is>
      </c>
      <c r="B17" s="17">
        <f>B12*$B$6*$B$5</f>
        <v/>
      </c>
      <c r="C17" s="17">
        <f>C12*$B$6*$B$5</f>
        <v/>
      </c>
      <c r="D17" s="17">
        <f>D12*$B$6*$B$5</f>
        <v/>
      </c>
    </row>
    <row r="18">
      <c r="A18" s="8" t="inlineStr">
        <is>
          <t>Expected switching cost (prob x cost, $)</t>
        </is>
      </c>
      <c r="B18" s="17">
        <f>B13*B14</f>
        <v/>
      </c>
      <c r="C18" s="17">
        <f>C13*C14</f>
        <v/>
      </c>
      <c r="D18" s="17">
        <f>D13*D14</f>
        <v/>
      </c>
    </row>
    <row r="19">
      <c r="A19" s="18" t="inlineStr">
        <is>
          <t>FIVE-YEAR TOTAL ($)</t>
        </is>
      </c>
      <c r="B19" s="19">
        <f>B9+B16+B17+B18</f>
        <v/>
      </c>
      <c r="C19" s="19">
        <f>C9+C16+C17+C18</f>
        <v/>
      </c>
      <c r="D19" s="19">
        <f>D9+D16+D17+D18</f>
        <v/>
      </c>
    </row>
    <row r="20">
      <c r="A20" s="8" t="inlineStr">
        <is>
          <t>Initial build as % of total</t>
        </is>
      </c>
      <c r="B20" s="20">
        <f>IF(B19=0,0,B9/B19)</f>
        <v/>
      </c>
      <c r="C20" s="20">
        <f>IF(C19=0,0,C9/C19)</f>
        <v/>
      </c>
      <c r="D20" s="20">
        <f>IF(D19=0,0,D9/D19)</f>
        <v/>
      </c>
    </row>
    <row r="22">
      <c r="A22" s="21" t="inlineStr">
        <is>
          <t>Lowest five-year cost</t>
        </is>
      </c>
      <c r="B22" s="22">
        <f>INDEX({"BUILD","BUY","AUTOMATE"},MATCH(MIN(B19:D19),B19:D19,0))</f>
        <v/>
      </c>
      <c r="C22" s="23" t="n"/>
      <c r="D22" s="24" t="n"/>
    </row>
    <row r="23">
      <c r="A23" s="25" t="inlineStr">
        <is>
          <t>Reminder: AUTOMATE often wins on cost because it covers a narrower need. Cheapest is not always enough.</t>
        </is>
      </c>
    </row>
    <row r="25">
      <c r="A25" s="25" t="inlineStr">
        <is>
          <t>Default values are illustrative, from the article. Replace every blue cell with your own numbers.</t>
        </is>
      </c>
    </row>
  </sheetData>
  <mergeCells count="3">
    <mergeCell ref="A23:D23"/>
    <mergeCell ref="B22:D22"/>
    <mergeCell ref="A25:D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Sensitivity: does the decision flip?</t>
        </is>
      </c>
    </row>
    <row r="2" ht="48" customHeight="1">
      <c r="A2" s="25" t="inlineStr">
        <is>
          <t>The maintenance assumption drives the result and is the hardest to predict. This sweeps BUILD maintenance effort and recomputes the five-year totals, holding the Calculator's other inputs fixed. If the winner changes across the rows, maintenance is the assumption that actually matters: spend your estimation effort there.</t>
        </is>
      </c>
    </row>
    <row r="4">
      <c r="A4" s="12" t="inlineStr">
        <is>
          <t>BUILD maintenance (FTE)</t>
        </is>
      </c>
      <c r="B4" s="12" t="inlineStr">
        <is>
          <t>BUILD 5-yr total</t>
        </is>
      </c>
      <c r="C4" s="12" t="inlineStr">
        <is>
          <t>BUY 5-yr total</t>
        </is>
      </c>
      <c r="D4" s="12" t="inlineStr">
        <is>
          <t>AUTOMATE 5-yr total</t>
        </is>
      </c>
      <c r="E4" s="12" t="inlineStr">
        <is>
          <t>Lowest cost</t>
        </is>
      </c>
    </row>
    <row r="5">
      <c r="A5" s="9" t="n">
        <v>0.1</v>
      </c>
      <c r="B5" s="26">
        <f>(Calculator!$B$9+Calculator!$B$16+Calculator!$B$18)+A5*Calculator!$B$6*Calculator!$B$5</f>
        <v/>
      </c>
      <c r="C5" s="26">
        <f>Calculator!$C$19</f>
        <v/>
      </c>
      <c r="D5" s="26">
        <f>Calculator!$D$19</f>
        <v/>
      </c>
      <c r="E5" s="27">
        <f>INDEX({"BUILD","BUY","AUTOMATE"},MATCH(MIN(B5:D5),B5:D5,0))</f>
        <v/>
      </c>
    </row>
    <row r="6">
      <c r="A6" s="9" t="n">
        <v>0.25</v>
      </c>
      <c r="B6" s="28">
        <f>(Calculator!$B$9+Calculator!$B$16+Calculator!$B$18)+A6*Calculator!$B$6*Calculator!$B$5</f>
        <v/>
      </c>
      <c r="C6" s="28">
        <f>Calculator!$C$19</f>
        <v/>
      </c>
      <c r="D6" s="28">
        <f>Calculator!$D$19</f>
        <v/>
      </c>
      <c r="E6" s="27">
        <f>INDEX({"BUILD","BUY","AUTOMATE"},MATCH(MIN(B6:D6),B6:D6,0))</f>
        <v/>
      </c>
    </row>
    <row r="7">
      <c r="A7" s="9" t="n">
        <v>0.5</v>
      </c>
      <c r="B7" s="26">
        <f>(Calculator!$B$9+Calculator!$B$16+Calculator!$B$18)+A7*Calculator!$B$6*Calculator!$B$5</f>
        <v/>
      </c>
      <c r="C7" s="26">
        <f>Calculator!$C$19</f>
        <v/>
      </c>
      <c r="D7" s="26">
        <f>Calculator!$D$19</f>
        <v/>
      </c>
      <c r="E7" s="27">
        <f>INDEX({"BUILD","BUY","AUTOMATE"},MATCH(MIN(B7:D7),B7:D7,0))</f>
        <v/>
      </c>
    </row>
    <row r="8">
      <c r="A8" s="9" t="n">
        <v>0.75</v>
      </c>
      <c r="B8" s="28">
        <f>(Calculator!$B$9+Calculator!$B$16+Calculator!$B$18)+A8*Calculator!$B$6*Calculator!$B$5</f>
        <v/>
      </c>
      <c r="C8" s="28">
        <f>Calculator!$C$19</f>
        <v/>
      </c>
      <c r="D8" s="28">
        <f>Calculator!$D$19</f>
        <v/>
      </c>
      <c r="E8" s="27">
        <f>INDEX({"BUILD","BUY","AUTOMATE"},MATCH(MIN(B8:D8),B8:D8,0))</f>
        <v/>
      </c>
    </row>
    <row r="9">
      <c r="A9" s="9" t="n">
        <v>1</v>
      </c>
      <c r="B9" s="26">
        <f>(Calculator!$B$9+Calculator!$B$16+Calculator!$B$18)+A9*Calculator!$B$6*Calculator!$B$5</f>
        <v/>
      </c>
      <c r="C9" s="26">
        <f>Calculator!$C$19</f>
        <v/>
      </c>
      <c r="D9" s="26">
        <f>Calculator!$D$19</f>
        <v/>
      </c>
      <c r="E9" s="27">
        <f>INDEX({"BUILD","BUY","AUTOMATE"},MATCH(MIN(B9:D9),B9:D9,0))</f>
        <v/>
      </c>
    </row>
    <row r="10">
      <c r="A10" s="9" t="n">
        <v>1.5</v>
      </c>
      <c r="B10" s="28">
        <f>(Calculator!$B$9+Calculator!$B$16+Calculator!$B$18)+A10*Calculator!$B$6*Calculator!$B$5</f>
        <v/>
      </c>
      <c r="C10" s="28">
        <f>Calculator!$C$19</f>
        <v/>
      </c>
      <c r="D10" s="28">
        <f>Calculator!$D$19</f>
        <v/>
      </c>
      <c r="E10" s="27">
        <f>INDEX({"BUILD","BUY","AUTOMATE"},MATCH(MIN(B10:D10),B10:D10,0))</f>
        <v/>
      </c>
    </row>
    <row r="11">
      <c r="A11" s="9" t="n">
        <v>2</v>
      </c>
      <c r="B11" s="26">
        <f>(Calculator!$B$9+Calculator!$B$16+Calculator!$B$18)+A11*Calculator!$B$6*Calculator!$B$5</f>
        <v/>
      </c>
      <c r="C11" s="26">
        <f>Calculator!$C$19</f>
        <v/>
      </c>
      <c r="D11" s="26">
        <f>Calculator!$D$19</f>
        <v/>
      </c>
      <c r="E11" s="27">
        <f>INDEX({"BUILD","BUY","AUTOMATE"},MATCH(MIN(B11:D11),B11:D11,0))</f>
        <v/>
      </c>
    </row>
    <row r="13">
      <c r="A13" s="25" t="inlineStr">
        <is>
          <t>Blue FTE cells are editable. BUY and AUTOMATE columns mirror the Calculator tab, so set those there first.</t>
        </is>
      </c>
    </row>
  </sheetData>
  <mergeCells count="2">
    <mergeCell ref="A2:E2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2026-10-06T10:46:39Z</dcterms:created>
  <dcterms:modified xmlns:dcterms="http://purl.org/dc/terms/" xmlns:xsi="http://www.w3.org/2001/XMLSchema-instance" xsi:type="dcterms:W3CDTF">2026-10-06T10:46:39Z</dcterms:modified>
</cp:coreProperties>
</file>